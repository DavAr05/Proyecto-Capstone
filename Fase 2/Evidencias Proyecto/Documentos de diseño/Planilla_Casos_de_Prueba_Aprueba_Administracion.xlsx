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uebas Estandar " sheetId="1" state="visible" r:id="rId3"/>
    <sheet name="Casos de Prueba" sheetId="2" state="visible" r:id="rId4"/>
    <sheet name="Total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2" authorId="0">
      <text>
        <r>
          <rPr>
            <sz val="10"/>
            <rFont val="Arial"/>
            <family val="2"/>
          </rPr>
          <t xml:space="preserve">======
ID#AAACIWkDQNc
Unknown Author    (2024-09-10 18:12:38)
Nombre de la sección de la aplicación que se esta probando.</t>
        </r>
      </text>
    </comment>
    <comment ref="C12" authorId="0">
      <text>
        <r>
          <rPr>
            <sz val="10"/>
            <rFont val="Arial"/>
            <family val="2"/>
          </rPr>
          <t xml:space="preserve">======
ID#AAACIWkDQNI
Unknown Author    (2024-09-10 18:12:38)
Definición del tema que se quiere probar. Especificar que actividad se va a realizar en la prueba.</t>
        </r>
      </text>
    </comment>
    <comment ref="D12" authorId="0">
      <text>
        <r>
          <rPr>
            <sz val="10"/>
            <rFont val="Arial"/>
            <family val="2"/>
          </rPr>
          <t xml:space="preserve">======
ID#AAACIWkDQNM
Unknown Author    (2024-09-10 18:12:38)
Definición del tema que se quiere probar. Especificar que actividad se va a realizar en la prueba.</t>
        </r>
      </text>
    </comment>
    <comment ref="F12" authorId="0">
      <text>
        <r>
          <rPr>
            <sz val="10"/>
            <rFont val="Arial"/>
            <family val="2"/>
          </rPr>
          <t xml:space="preserve">======
ID#AAACIWkDPyA
Unknown Author    (2024-09-10 18:12:38)
Especificación del caso de prueba. Se debe detallar que es lo que debe realizar la aplicación al aplicar el caso mencionado.</t>
        </r>
      </text>
    </comment>
    <comment ref="G12" authorId="0">
      <text>
        <r>
          <rPr>
            <sz val="10"/>
            <rFont val="Arial"/>
            <family val="2"/>
          </rPr>
          <t xml:space="preserve">======
ID#AAACIWkDQNU
Unknown Author    (2024-09-10 18:12:38)
Detalle de lo que realmente ocurre al realizar le caso.</t>
        </r>
      </text>
    </comment>
    <comment ref="G13" authorId="0">
      <text>
        <r>
          <rPr>
            <sz val="10"/>
            <rFont val="Arial"/>
            <family val="2"/>
          </rPr>
          <t xml:space="preserve">======
ID#AAACIWkDQNY
Unknown Author    (2024-09-10 18:12:38)
Se selección SI cuando se cumple el resultado esperado.</t>
        </r>
      </text>
    </comment>
    <comment ref="H13" authorId="0">
      <text>
        <r>
          <rPr>
            <sz val="10"/>
            <rFont val="Arial"/>
            <family val="2"/>
          </rPr>
          <t xml:space="preserve">======
ID#AAACIWkDQNE
Unknown Author    (2024-09-10 18:12:38)
Se selecciona NO cuando no se cumple el resultado esperado.</t>
        </r>
      </text>
    </comment>
    <comment ref="I13" authorId="0">
      <text>
        <r>
          <rPr>
            <sz val="10"/>
            <rFont val="Arial"/>
            <family val="2"/>
          </rPr>
          <t xml:space="preserve">======
ID#AAACIWkDQNA
Unknown Author    (2024-09-10 18:12:38)
Se selecciona N/A cuando no se aplica este caso.</t>
        </r>
      </text>
    </comment>
    <comment ref="J13" authorId="0">
      <text>
        <r>
          <rPr>
            <sz val="10"/>
            <rFont val="Arial"/>
            <family val="2"/>
          </rPr>
          <t xml:space="preserve">======
ID#AAACIWkDQNQ
Unknown Author    (2024-09-10 18:12:38)
Descripción del error encontrado.</t>
        </r>
      </text>
    </comment>
  </commentList>
</comments>
</file>

<file path=xl/sharedStrings.xml><?xml version="1.0" encoding="utf-8"?>
<sst xmlns="http://schemas.openxmlformats.org/spreadsheetml/2006/main" count="626" uniqueCount="469">
  <si>
    <t xml:space="preserve">Casos de Pruebas Estándar</t>
  </si>
  <si>
    <t xml:space="preserve">Marcar solo después de ejecutar: OK cumple, NC no cumple, NA no aplica con justificación y BL bloqueado por una dependencia pendiente. Estado vacío significa pendiente.</t>
  </si>
  <si>
    <t xml:space="preserve">Alcance: Aprueba Administración. Los resultados iniciales están pendientes; las observaciones del equipo no equivalen a pruebas ejecutadas.</t>
  </si>
  <si>
    <t xml:space="preserve">ID</t>
  </si>
  <si>
    <t xml:space="preserve">1.- INTERFAZ GRÁFICA.</t>
  </si>
  <si>
    <t xml:space="preserve">Estado</t>
  </si>
  <si>
    <t xml:space="preserve">E-1.1</t>
  </si>
  <si>
    <t xml:space="preserve">Navegación identifica la sección activa y permite regresar.</t>
  </si>
  <si>
    <t xml:space="preserve">OK</t>
  </si>
  <si>
    <t xml:space="preserve">E-1.2</t>
  </si>
  <si>
    <t xml:space="preserve">Tabla y gráfico de Sponsors se visualizan completos.</t>
  </si>
  <si>
    <t xml:space="preserve">E-1.3</t>
  </si>
  <si>
    <t xml:space="preserve">Botones de edición y eliminación son accesibles.</t>
  </si>
  <si>
    <t xml:space="preserve">E-1.4</t>
  </si>
  <si>
    <t xml:space="preserve">Formularios presentan etiquetas y campos obligatorios.</t>
  </si>
  <si>
    <t xml:space="preserve">E-1.5</t>
  </si>
  <si>
    <t xml:space="preserve">Confirmaciones de eliminación se muestran sobre la ficha.</t>
  </si>
  <si>
    <t xml:space="preserve">E-1.6</t>
  </si>
  <si>
    <t xml:space="preserve">Ficha de tutor permite cambiar la selección.</t>
  </si>
  <si>
    <t xml:space="preserve">E-1.7</t>
  </si>
  <si>
    <t xml:space="preserve">Avatar de tutor no se recorta en teléfono.</t>
  </si>
  <si>
    <t xml:space="preserve">E-1.8</t>
  </si>
  <si>
    <t xml:space="preserve">Contraste legible en tema claro.</t>
  </si>
  <si>
    <t xml:space="preserve">E-1.9</t>
  </si>
  <si>
    <t xml:space="preserve">Contraste legible en tema oscuro.</t>
  </si>
  <si>
    <t xml:space="preserve">E-1.10</t>
  </si>
  <si>
    <t xml:space="preserve">Contador de Recorrecciones legible en pestaña activa.</t>
  </si>
  <si>
    <t xml:space="preserve">E-1.11</t>
  </si>
  <si>
    <t xml:space="preserve">KPI e iconos de Resumen y Tutores sin cortes.</t>
  </si>
  <si>
    <t xml:space="preserve">E-1.12</t>
  </si>
  <si>
    <t xml:space="preserve">Adaptación correcta a 360 y 390 px.</t>
  </si>
  <si>
    <t xml:space="preserve">E-1.13</t>
  </si>
  <si>
    <t xml:space="preserve">Comportamiento correcto a 620 y 621 px.</t>
  </si>
  <si>
    <t xml:space="preserve">E-1.14</t>
  </si>
  <si>
    <t xml:space="preserve">Diseño de escritorio utilizable a 1366 y 1920 px.</t>
  </si>
  <si>
    <t xml:space="preserve">E-1.15</t>
  </si>
  <si>
    <t xml:space="preserve">Traducción ES y EN sin claves ni títulos duplicados.</t>
  </si>
  <si>
    <t xml:space="preserve">E-1.16</t>
  </si>
  <si>
    <t xml:space="preserve">Flujo prioritario compatible con Chrome y Edge.</t>
  </si>
  <si>
    <t xml:space="preserve">2.- VALIDACIÓN DE DATOS DE ENTRADA</t>
  </si>
  <si>
    <t xml:space="preserve">E-2.1</t>
  </si>
  <si>
    <t xml:space="preserve">Nombre obligatorio del sponsor validado.</t>
  </si>
  <si>
    <t xml:space="preserve">E-2.2</t>
  </si>
  <si>
    <t xml:space="preserve">Campos obligatorios del beneficio validados.</t>
  </si>
  <si>
    <t xml:space="preserve">E-2.3</t>
  </si>
  <si>
    <t xml:space="preserve">Costo negativo rechazado.</t>
  </si>
  <si>
    <t xml:space="preserve">E-2.4</t>
  </si>
  <si>
    <t xml:space="preserve">Costo no numérico rechazado.</t>
  </si>
  <si>
    <t xml:space="preserve">E-2.5</t>
  </si>
  <si>
    <t xml:space="preserve">Stock negativo rechazado.</t>
  </si>
  <si>
    <t xml:space="preserve">E-2.6</t>
  </si>
  <si>
    <t xml:space="preserve">Stock entero validado según contrato.</t>
  </si>
  <si>
    <t xml:space="preserve">E-2.7</t>
  </si>
  <si>
    <t xml:space="preserve">Stock cero tratado según disponibilidad.</t>
  </si>
  <si>
    <t xml:space="preserve">E-2.8</t>
  </si>
  <si>
    <t xml:space="preserve">Rango de fechas invertido rechazado.</t>
  </si>
  <si>
    <t xml:space="preserve">E-2.9</t>
  </si>
  <si>
    <t xml:space="preserve">Vigencia vencida impide canje.</t>
  </si>
  <si>
    <t xml:space="preserve">E-2.10</t>
  </si>
  <si>
    <t xml:space="preserve">Saldo insuficiente impide canje.</t>
  </si>
  <si>
    <t xml:space="preserve">BL</t>
  </si>
  <si>
    <t xml:space="preserve">E-2.11</t>
  </si>
  <si>
    <t xml:space="preserve">Referencias inexistentes no crean registros huérfanos.</t>
  </si>
  <si>
    <t xml:space="preserve">E-2.12</t>
  </si>
  <si>
    <t xml:space="preserve">Entradas inválidas de API no alteran datos.</t>
  </si>
  <si>
    <t xml:space="preserve">E-2.13</t>
  </si>
  <si>
    <t xml:space="preserve">Contraseña incorrecta rechazada.</t>
  </si>
  <si>
    <t xml:space="preserve">E-2.14</t>
  </si>
  <si>
    <t xml:space="preserve">OTP incorrecto rechazado.</t>
  </si>
  <si>
    <t xml:space="preserve">E-2.15</t>
  </si>
  <si>
    <t xml:space="preserve">OTP vencido rechazado.</t>
  </si>
  <si>
    <t xml:space="preserve">E-2.16</t>
  </si>
  <si>
    <t xml:space="preserve">OTP reutilizado rechazado.</t>
  </si>
  <si>
    <t xml:space="preserve">E-2.17</t>
  </si>
  <si>
    <t xml:space="preserve">Campos y tipos cumplen modelo administrativo vigente.</t>
  </si>
  <si>
    <t xml:space="preserve">3.- PRUEBAS FUNCIONALES</t>
  </si>
  <si>
    <t xml:space="preserve">E-3.1</t>
  </si>
  <si>
    <t xml:space="preserve">Login y MFA válido permiten acceso a Resumen.</t>
  </si>
  <si>
    <t xml:space="preserve">E-3.2</t>
  </si>
  <si>
    <t xml:space="preserve">JWT ausente o vencido impide acceso.</t>
  </si>
  <si>
    <t xml:space="preserve">E-3.3</t>
  </si>
  <si>
    <t xml:space="preserve">Permisos se validan en backend por rol.</t>
  </si>
  <si>
    <t xml:space="preserve">E-3.4</t>
  </si>
  <si>
    <t xml:space="preserve">Cierre de sesión protege las rutas.</t>
  </si>
  <si>
    <t xml:space="preserve">E-3.5</t>
  </si>
  <si>
    <t xml:space="preserve">Sponsor con beneficios se crea y persiste.</t>
  </si>
  <si>
    <t xml:space="preserve">E-3.6</t>
  </si>
  <si>
    <t xml:space="preserve">Edición conserva asociación sponsor-beneficio.</t>
  </si>
  <si>
    <t xml:space="preserve">E-3.7</t>
  </si>
  <si>
    <t xml:space="preserve">Cancelación de eliminación conserva registro.</t>
  </si>
  <si>
    <t xml:space="preserve">E-3.8</t>
  </si>
  <si>
    <t xml:space="preserve">Eliminación respeta dependencias.</t>
  </si>
  <si>
    <t xml:space="preserve">E-3.9</t>
  </si>
  <si>
    <t xml:space="preserve">Aporte mensual se registra en periodo correcto.</t>
  </si>
  <si>
    <t xml:space="preserve">E-3.10</t>
  </si>
  <si>
    <t xml:space="preserve">Costo y stock editados persisten.</t>
  </si>
  <si>
    <t xml:space="preserve">E-3.11</t>
  </si>
  <si>
    <t xml:space="preserve">Canje válido actualiza saldo y stock.</t>
  </si>
  <si>
    <t xml:space="preserve">E-3.12</t>
  </si>
  <si>
    <t xml:space="preserve">Canje simultáneo no genera stock negativo.</t>
  </si>
  <si>
    <t xml:space="preserve">E-3.13</t>
  </si>
  <si>
    <t xml:space="preserve">Tickets cumplen transiciones permitidas.</t>
  </si>
  <si>
    <t xml:space="preserve">E-3.14</t>
  </si>
  <si>
    <t xml:space="preserve">Tutores conservan estado y verificación.</t>
  </si>
  <si>
    <t xml:space="preserve">E-3.15</t>
  </si>
  <si>
    <t xml:space="preserve">Cambios auditables generan registro según contrato.</t>
  </si>
  <si>
    <t xml:space="preserve">4.- VERIFICACIÓN DE INFORMES</t>
  </si>
  <si>
    <t xml:space="preserve">E-4.1</t>
  </si>
  <si>
    <t xml:space="preserve">Conciliación coincide con ofrecidos y canjeados.</t>
  </si>
  <si>
    <t xml:space="preserve">E-4.2</t>
  </si>
  <si>
    <t xml:space="preserve">CSV Comercial coincide con rango y datos de origen.</t>
  </si>
  <si>
    <t xml:space="preserve">E-4.3</t>
  </si>
  <si>
    <t xml:space="preserve">Informes sin datos muestran estado vacío correcto.</t>
  </si>
  <si>
    <t xml:space="preserve">5.- IMPRESIONES</t>
  </si>
  <si>
    <t xml:space="preserve">E-5.1</t>
  </si>
  <si>
    <t xml:space="preserve">Confirmar si existe requisito de impresión antes de marcar NA.</t>
  </si>
  <si>
    <t xml:space="preserve">E-5.2</t>
  </si>
  <si>
    <t xml:space="preserve">Si se exige impresión, tabla conserva encabezados legibles.</t>
  </si>
  <si>
    <t xml:space="preserve">E-5.3</t>
  </si>
  <si>
    <t xml:space="preserve">Si se exige impresión, contenido no queda cortado.</t>
  </si>
  <si>
    <t xml:space="preserve">E-5.4</t>
  </si>
  <si>
    <t xml:space="preserve">Si se exige impresión, orientación corresponde al informe.</t>
  </si>
  <si>
    <t xml:space="preserve">E-5.5</t>
  </si>
  <si>
    <t xml:space="preserve">Si se exige impresión, totales coinciden con pantalla.</t>
  </si>
  <si>
    <t xml:space="preserve">6.- OBSERVACIONES ANEXAS</t>
  </si>
  <si>
    <t xml:space="preserve">E-6.1</t>
  </si>
  <si>
    <t xml:space="preserve">Emulador aislado y semilla seed:emu comprobados.</t>
  </si>
  <si>
    <t xml:space="preserve">E-6.2</t>
  </si>
  <si>
    <t xml:space="preserve">Smoke de 110 comprobaciones con salida conservada.</t>
  </si>
  <si>
    <t xml:space="preserve">E-6.3</t>
  </si>
  <si>
    <t xml:space="preserve">SEG-01 credenciales expuestas corregidas y revalidadas.</t>
  </si>
  <si>
    <t xml:space="preserve">NC</t>
  </si>
  <si>
    <t xml:space="preserve">E-6.4</t>
  </si>
  <si>
    <t xml:space="preserve">SEG-02 MFA fijo deshabilitado fuera de pruebas aisladas.</t>
  </si>
  <si>
    <t xml:space="preserve">E-6.5</t>
  </si>
  <si>
    <t xml:space="preserve">Evidencias identifican fecha, versión y ambiente.</t>
  </si>
  <si>
    <t xml:space="preserve">PLANILLA CASOS DE PRUEBA</t>
  </si>
  <si>
    <t xml:space="preserve">PROYECTO</t>
  </si>
  <si>
    <t xml:space="preserve">Aprueba Administración</t>
  </si>
  <si>
    <t xml:space="preserve">MODULOS</t>
  </si>
  <si>
    <t xml:space="preserve">Sponsors y Beneficios, identidad y módulos complementarios</t>
  </si>
  <si>
    <t xml:space="preserve">NOMBRE JEFE DE PROYECTO</t>
  </si>
  <si>
    <t xml:space="preserve">David Arenas Márquez</t>
  </si>
  <si>
    <t xml:space="preserve">NOMBRE ANALISTA TESTING</t>
  </si>
  <si>
    <t xml:space="preserve">Amaru Rojas Justiniano</t>
  </si>
  <si>
    <t xml:space="preserve">Nº CICLO</t>
  </si>
  <si>
    <t xml:space="preserve">FECHA</t>
  </si>
  <si>
    <t xml:space="preserve">MODULO</t>
  </si>
  <si>
    <t xml:space="preserve">DESCRIPCIÓN DE CASOS DE PRUEBAS
( QUE PROBAR )</t>
  </si>
  <si>
    <t xml:space="preserve">PROCEDIMIENTO DE PRUEBA 
(COMO)</t>
  </si>
  <si>
    <t xml:space="preserve">DATOS DE PRUEBA
(CON QUE PROBAR)</t>
  </si>
  <si>
    <t xml:space="preserve">RESULTADO ESPERADO</t>
  </si>
  <si>
    <t xml:space="preserve">RESULTADO OBTENIDO </t>
  </si>
  <si>
    <t xml:space="preserve">ESTADO</t>
  </si>
  <si>
    <t xml:space="preserve">SI</t>
  </si>
  <si>
    <t xml:space="preserve">NO</t>
  </si>
  <si>
    <t xml:space="preserve">N/A</t>
  </si>
  <si>
    <t xml:space="preserve">Descripción</t>
  </si>
  <si>
    <t xml:space="preserve">Observación</t>
  </si>
  <si>
    <t xml:space="preserve">Ambiente</t>
  </si>
  <si>
    <t xml:space="preserve">Preparar emulador y semilla</t>
  </si>
  <si>
    <t xml:space="preserve">1. Iniciar emulador según repo. 2. Confirmar destino local del backend. 3. Ejecutar script seed:emu. 4. Consultar registros sembrados.</t>
  </si>
  <si>
    <t xml:space="preserve">Configuración local y semilla del repo.</t>
  </si>
  <si>
    <t xml:space="preserve">La semilla termina sin errores, carga los datos esperados y no modifica el ambiente compartido.</t>
  </si>
  <si>
    <t xml:space="preserve">Semilla seed:emu ejecutada sin errores en el emulador (salida de probar-todo). Falta registrar fecha y commit.</t>
  </si>
  <si>
    <t xml:space="preserve">Prioridad alta. Responsable propuesto: backend. Registrar evidencia, fecha, commit y ambiente.</t>
  </si>
  <si>
    <t xml:space="preserve">Aprobado</t>
  </si>
  <si>
    <t xml:space="preserve">Integración</t>
  </si>
  <si>
    <t xml:space="preserve">Ejecutar smoke de 110 comprobaciones</t>
  </si>
  <si>
    <t xml:space="preserve">1. Preparar emulador con seed:emu. 2. Ejecutar comando smoke definido en repo. 3. Guardar salida completa y conteos.</t>
  </si>
  <si>
    <t xml:space="preserve">Commit fijado, emulador y semilla restaurada.</t>
  </si>
  <si>
    <t xml:space="preserve">110 comprobaciones aprobadas, cero fallas u omisiones. Si cambió la suite, justificar y actualizar línea base.</t>
  </si>
  <si>
    <t xml:space="preserve">Smoke: 110 comprobaciones OK, 0 fallas (ejecutado en el emulador tras seed:emu). Falta guardar la salida con fecha y commit.</t>
  </si>
  <si>
    <t xml:space="preserve">El equipo reporta esta suite. Verificar comando y cobertura en repo. No se han ejecutado sus comprobaciones en esta planilla.</t>
  </si>
  <si>
    <t xml:space="preserve">Identidad</t>
  </si>
  <si>
    <t xml:space="preserve">Iniciar sesión y aterrizar en Resumen</t>
  </si>
  <si>
    <t xml:space="preserve">1. Abrir login desde otra ruta. 2. Ingresar credenciales válidas. 3. Completar MFA válido.</t>
  </si>
  <si>
    <t xml:space="preserve">Administrador de prueba y OTP legítimo.</t>
  </si>
  <si>
    <t xml:space="preserve">Se crea sesión autorizada y abre Resumen sin quedar en la ruta anterior.</t>
  </si>
  <si>
    <t xml:space="preserve">Verificado por el equipo (pruebas estándar E-3.1).</t>
  </si>
  <si>
    <t xml:space="preserve">Rechazar credenciales inválidas</t>
  </si>
  <si>
    <t xml:space="preserve">1. Probar contraseña incorrecta. 2. Probar usuario inexistente. 3. Consultar ruta protegida.</t>
  </si>
  <si>
    <t xml:space="preserve">Cuenta de prueba, clave incorrecta y correo inexistente.</t>
  </si>
  <si>
    <t xml:space="preserve">No se emite sesión válida ni se accede a datos protegidos. Mensaje sin revelar secretos.</t>
  </si>
  <si>
    <t xml:space="preserve">Verificado por el equipo (pruebas estándar E-2.13).</t>
  </si>
  <si>
    <t xml:space="preserve">Seguridad</t>
  </si>
  <si>
    <t xml:space="preserve">SEG-01 invalidar credenciales publicadas</t>
  </si>
  <si>
    <t xml:space="preserve">1. Revisar README actual e historial sin copiar secretos a la evidencia. 2. Verificar retiro e invalidación. 3. Intentar acceso controlado con credencial expuesta.</t>
  </si>
  <si>
    <t xml:space="preserve">Cuenta afectada, entorno autorizado y credencial expuesta identificada por el equipo.</t>
  </si>
  <si>
    <t xml:space="preserve">No hay contraseñas operativas publicadas; las credenciales expuestas están invalidadas y no permiten iniciar sesión.</t>
  </si>
  <si>
    <t xml:space="preserve">Defecto conocido abierto: las contraseñas sembradas siguen en el README y en la semilla. Pendiente corregir y revalidar.</t>
  </si>
  <si>
    <t xml:space="preserve">Defecto conocido reportado. Crítico provisional si afecta despliegue. Reproducir antes de registrar resultado. Responsable: backend.</t>
  </si>
  <si>
    <t xml:space="preserve">Fallido</t>
  </si>
  <si>
    <t xml:space="preserve">SEG-02 rechazar MFA fijo</t>
  </si>
  <si>
    <t xml:space="preserve">1. Preparar sesión pendiente de MFA. 2. Enviar código fijo reportado. 3. Verificar rechazo en ambiente desplegado autorizado.</t>
  </si>
  <si>
    <t xml:space="preserve">Cuenta de prueba y código fijo de demostración.</t>
  </si>
  <si>
    <t xml:space="preserve">El código fijo no habilita acceso administrativo. Mecanismo de prueba aislado al emulador.</t>
  </si>
  <si>
    <t xml:space="preserve">Defecto conocido abierto: el código MFA fijo de demostración sigue activo. Pendiente aislarlo al emulador.</t>
  </si>
  <si>
    <t xml:space="preserve">Defecto conocido reportado. Bloquea cierre si afecta despliegue. No atribuir resultado sin ejecución. Responsable: backend.</t>
  </si>
  <si>
    <t xml:space="preserve">Validar vencimiento y uso único OTP</t>
  </si>
  <si>
    <t xml:space="preserve">1. Probar OTP incorrecto. 2. Probar OTP vencido. 3. Completar uno válido. 4. Reutilizar el mismo.</t>
  </si>
  <si>
    <t xml:space="preserve">Códigos controlados y política OTP vigente.</t>
  </si>
  <si>
    <t xml:space="preserve">Solo el código válido y vigente (ventana de ±1 período TOTP de 30 s) se acepta; los incorrectos y vencidos se rechazan. El rechazo de un código ya usado se verifica solo si el contrato lo exige; de lo contrario se registra como mejora propia.</t>
  </si>
  <si>
    <t xml:space="preserve">Bloqueado: el TOTP real aún no está implementado; hoy se usa un código fijo.</t>
  </si>
  <si>
    <t xml:space="preserve">Prioridad alta. Responsable propuesto: backend. Registrar evidencia, fecha, commit y ambiente. Los documentos de Max piden TOTP con ventana de tolerancia y no exigen uso único del código.</t>
  </si>
  <si>
    <t xml:space="preserve">Bloqueado</t>
  </si>
  <si>
    <t xml:space="preserve">Rechazar token ausente o vencido</t>
  </si>
  <si>
    <t xml:space="preserve">1. Consultar ruta admin sin JWT. 2. Repetir con JWT vencido. 3. Revisar respuesta y datos.</t>
  </si>
  <si>
    <t xml:space="preserve">Ruta admin real y token vencido de prueba.</t>
  </si>
  <si>
    <t xml:space="preserve">Se rechaza el acceso según contrato, sin exponer datos administrativos.</t>
  </si>
  <si>
    <t xml:space="preserve">Sin token → 401 (smoke). Token vencido → 401 "Token inválido o expirado": el backend verifica la expiración del JWT (vigencia de 15 minutos).</t>
  </si>
  <si>
    <t xml:space="preserve">Aplicar permisos por rol en API</t>
  </si>
  <si>
    <t xml:space="preserve">1. Acceder con rol autorizado. 2. Repetir consulta y mutación con rol restringido mediante API directa.</t>
  </si>
  <si>
    <t xml:space="preserve">Cuentas de roles definidos en el contrato vigente.</t>
  </si>
  <si>
    <t xml:space="preserve">Solo roles permitidos ejecutan la operación; ocultar botones no sustituye la validación del backend.</t>
  </si>
  <si>
    <t xml:space="preserve">Verificado por el equipo (pruebas estándar E-3.3).</t>
  </si>
  <si>
    <t xml:space="preserve">Cerrar sesión</t>
  </si>
  <si>
    <t xml:space="preserve">1. Iniciar sesión. 2. Cerrar sesión. 3. Volver a ruta protegida y recargar.</t>
  </si>
  <si>
    <t xml:space="preserve">Cuenta de prueba autorizada.</t>
  </si>
  <si>
    <t xml:space="preserve">La interfaz exige autenticarse nuevamente. Verificar invalidación de sesión conforme a política vigente.</t>
  </si>
  <si>
    <t xml:space="preserve">Verificado por el equipo (pruebas estándar E-3.4).</t>
  </si>
  <si>
    <t xml:space="preserve">API</t>
  </si>
  <si>
    <t xml:space="preserve">Validar contrato de respuestas</t>
  </si>
  <si>
    <t xml:space="preserve">1. Ejecutar consulta válida, entrada inválida y recurso inexistente. 2. Comparar respuestas con contrato admin vigente.</t>
  </si>
  <si>
    <t xml:space="preserve">Endpoints reales y referencia Aprueba_Admin_API_FastAPI.</t>
  </si>
  <si>
    <t xml:space="preserve">Código HTTP, estructura y campos cumplen el contrato vigente. Contrastar envoltorio implementado {data, error, meta}.</t>
  </si>
  <si>
    <t xml:space="preserve">Smoke verifica códigos HTTP y estructura {data, error, meta}. Falta contrastar con el documento de Max.</t>
  </si>
  <si>
    <t xml:space="preserve">En ejecución</t>
  </si>
  <si>
    <t xml:space="preserve">Sponsors</t>
  </si>
  <si>
    <t xml:space="preserve">Consultar tabla y gráfico</t>
  </si>
  <si>
    <t xml:space="preserve">1. Sembrar sponsors con aportes conocidos. 2. Abrir módulo. 3. Comparar tabla, gráfico y fuente de datos.</t>
  </si>
  <si>
    <t xml:space="preserve">Sponsor A aporte 100000 y B aporte 50000 en el mismo mes.</t>
  </si>
  <si>
    <t xml:space="preserve">Tabla y gráfico representan ambos sponsors y sus aportes sin omisiones ni duplicados.</t>
  </si>
  <si>
    <t xml:space="preserve">Criterio oficial 1 verificado por el equipo; smoke confirma 5 sponsors con beneficios. Falta adjuntar captura.</t>
  </si>
  <si>
    <t xml:space="preserve">Prioridad alta. D-E4. Responsables propuestos: ambos. Verificar interfaz, API y persistencia.</t>
  </si>
  <si>
    <t xml:space="preserve">Crear sponsor con beneficios</t>
  </si>
  <si>
    <t xml:space="preserve">1. Completar sponsor y beneficio válido. 2. Guardar. 3. Recargar y consultar API y Firestore.</t>
  </si>
  <si>
    <t xml:space="preserve">Sponsor QA único, beneficio costo 10, stock 5 y vigencia futura.</t>
  </si>
  <si>
    <t xml:space="preserve">Sponsor y beneficio se crean, quedan asociados y persisten tras recargar.</t>
  </si>
  <si>
    <t xml:space="preserve">Criterio oficial 2 verificado por el equipo; smoke: creación 201 con beneficio bnf_ y documento correcto.</t>
  </si>
  <si>
    <t xml:space="preserve">Validar campos obligatorios</t>
  </si>
  <si>
    <t xml:space="preserve">1. Enviar creación sin nombre. 2. Omitir campos obligatorios de beneficio definidos en contrato.</t>
  </si>
  <si>
    <t xml:space="preserve">Campos requeridos vacíos.</t>
  </si>
  <si>
    <t xml:space="preserve">Se informa cada dato inválido y no se crean registros incompletos.</t>
  </si>
  <si>
    <t xml:space="preserve">Verificado por el equipo (pruebas estándar E-2.1, E-2.2).</t>
  </si>
  <si>
    <t xml:space="preserve">Editar sponsor</t>
  </si>
  <si>
    <t xml:space="preserve">1. Abrir sponsor existente. 2. Cambiar dato editable. 3. Guardar y recargar.</t>
  </si>
  <si>
    <t xml:space="preserve">Sponsor QA y valor actualizado único.</t>
  </si>
  <si>
    <t xml:space="preserve">Solo cambia el registro seleccionado y sus beneficios conservan la asociación.</t>
  </si>
  <si>
    <t xml:space="preserve">Criterio oficial 3 (CRUD) verificado por el equipo. Falta adjuntar evidencia.</t>
  </si>
  <si>
    <t xml:space="preserve">Cancelar eliminación</t>
  </si>
  <si>
    <t xml:space="preserve">1. Solicitar eliminar sponsor de prueba. 2. Cancelar. 3. Recargar.</t>
  </si>
  <si>
    <t xml:space="preserve">Sponsor QA sin dependencias activas.</t>
  </si>
  <si>
    <t xml:space="preserve">El sponsor permanece y no se modifica su información.</t>
  </si>
  <si>
    <t xml:space="preserve">Verificado por el equipo (pruebas estándar E-3.7).</t>
  </si>
  <si>
    <t xml:space="preserve">Eliminar y controlar dependencias</t>
  </si>
  <si>
    <t xml:space="preserve">1. Eliminar sponsor sin dependencias. 2. Intentar eliminar otro con canjes o referencias. 3. Consultar persistencia.</t>
  </si>
  <si>
    <t xml:space="preserve">Dos sponsors de prueba con distintos estados de dependencias.</t>
  </si>
  <si>
    <t xml:space="preserve">El primero se elimina según contrato. El segundo respeta la política vigente sin dejar referencias huérfanas.</t>
  </si>
  <si>
    <t xml:space="preserve">Verificado por el equipo (pruebas estándar E-3.8).</t>
  </si>
  <si>
    <t xml:space="preserve">Prioridad alta. D-E4. Responsables propuestos: ambos. Verificar interfaz, API y persistencia. Confirmar política exacta antes de ejecutar.</t>
  </si>
  <si>
    <t xml:space="preserve">Registrar aporte mensual</t>
  </si>
  <si>
    <t xml:space="preserve">1. Registrar aporte en mes conocido. 2. Recargar. 3. Comparar totales y gráfico.</t>
  </si>
  <si>
    <t xml:space="preserve">Sponsor QA y aporte de 25000 en mes seleccionado.</t>
  </si>
  <si>
    <t xml:space="preserve">El aporte queda en el mes y sponsor correctos y actualiza los totales correspondientes.</t>
  </si>
  <si>
    <t xml:space="preserve">Verificado por el equipo (pruebas estándar E-3.9).</t>
  </si>
  <si>
    <t xml:space="preserve">Beneficios</t>
  </si>
  <si>
    <t xml:space="preserve">Editar costo y stock</t>
  </si>
  <si>
    <t xml:space="preserve">1. Editar beneficio. 2. Cambiar costo y stock. 3. Guardar. 4. Recargar y consultar registros.</t>
  </si>
  <si>
    <t xml:space="preserve">Beneficio QA de costo 10 a 20 y stock 5 a 8.</t>
  </si>
  <si>
    <t xml:space="preserve">Los valores nuevos persisten y las vistas los muestran de manera consistente.</t>
  </si>
  <si>
    <t xml:space="preserve">Criterio oficial 3 (costo y stock) verificado por el equipo. Falta adjuntar evidencia.</t>
  </si>
  <si>
    <t xml:space="preserve">Rechazar costo negativo o no numérico</t>
  </si>
  <si>
    <t xml:space="preserve">1. Enviar costo negativo. 2. Enviar texto. 3. Comprobar estado original.</t>
  </si>
  <si>
    <t xml:space="preserve">Costo -1 y texto abc.</t>
  </si>
  <si>
    <t xml:space="preserve">La API y la interfaz rechazan valores inválidos y conservan el registro previo.</t>
  </si>
  <si>
    <t xml:space="preserve">Verificado por el equipo en la interfaz (pruebas estándar E-2.3, E-2.4). Queda por confirmar el rechazo también a nivel de API.</t>
  </si>
  <si>
    <t xml:space="preserve">Validar límites de stock</t>
  </si>
  <si>
    <t xml:space="preserve">1. Probar stock -1, 0, 1 y fracción. 2. Consultar estado tras cada intento.</t>
  </si>
  <si>
    <t xml:space="preserve">Stock -1, 0, 1 y 1.5.</t>
  </si>
  <si>
    <t xml:space="preserve">Se rechaza stock negativo y fracción si el contrato exige enteros. Stock cero y uno respetan disponibilidad definida.</t>
  </si>
  <si>
    <t xml:space="preserve">Verificado por el equipo en la interfaz (pruebas estándar E-2.5, E-2.6, E-2.7). Queda por confirmar el rechazo también a nivel de API.</t>
  </si>
  <si>
    <t xml:space="preserve">Validar vigencia</t>
  </si>
  <si>
    <t xml:space="preserve">1. Crear rango válido. 2. Probar fecha fin anterior a inicio. 3. Consultar beneficio vencido.</t>
  </si>
  <si>
    <t xml:space="preserve">Fechas válidas, invertidas y beneficio vencido.</t>
  </si>
  <si>
    <t xml:space="preserve">Rango invertido se rechaza; beneficio vencido no queda habilitado para canje.</t>
  </si>
  <si>
    <t xml:space="preserve">Verificado por el equipo en la interfaz (pruebas estándar E-2.8, E-2.9). Queda por confirmar el rechazo también a nivel de API.</t>
  </si>
  <si>
    <t xml:space="preserve">Rechazar canje sin stock</t>
  </si>
  <si>
    <t xml:space="preserve">1. Preparar beneficio con stock cero. 2. Solicitar canje por flujo o API existente. 3. Comparar saldos.</t>
  </si>
  <si>
    <t xml:space="preserve">Usuario con medallas suficientes y stock 0.</t>
  </si>
  <si>
    <t xml:space="preserve">Canje rechazado; stock, medallas y registros permanecen consistentes.</t>
  </si>
  <si>
    <t xml:space="preserve">Verificado por el equipo (pruebas estándar E-2.7).</t>
  </si>
  <si>
    <t xml:space="preserve">Prioridad alta. D-E4. Responsables propuestos: ambos. Verificar interfaz, API y persistencia. La consola prueba el canje por API (redeem); el descuento de medallas del alumno depende de la app del alumno (fuera de alcance).</t>
  </si>
  <si>
    <t xml:space="preserve">Rechazar canje sin medallas suficientes</t>
  </si>
  <si>
    <t xml:space="preserve">1. Preparar saldo inferior al costo. 2. Solicitar canje. 3. Revisar saldo y stock.</t>
  </si>
  <si>
    <t xml:space="preserve">Saldo 9, costo 10 y stock 2.</t>
  </si>
  <si>
    <t xml:space="preserve">No se confirma canje ni se descuentan medallas o stock.</t>
  </si>
  <si>
    <t xml:space="preserve">Bloqueado: el canje de la consola no descuenta medallas de un alumno; esa validación depende de la app del alumno.</t>
  </si>
  <si>
    <t xml:space="preserve">Conciliar canje válido</t>
  </si>
  <si>
    <t xml:space="preserve">1. Preparar beneficio. 2. Realizar canje permitido. 3. Consultar saldo, stock y conciliación.</t>
  </si>
  <si>
    <t xml:space="preserve">Saldo 20, costo 10 y stock inicial 5.</t>
  </si>
  <si>
    <t xml:space="preserve">Saldo final 10, stock 4 y un canje registrado; conciliación muestra valores coherentes con fuente.</t>
  </si>
  <si>
    <t xml:space="preserve">Verificado por el equipo (pruebas estándar E-3.11).</t>
  </si>
  <si>
    <t xml:space="preserve">Prioridad alta. D-E4. Responsables propuestos: ambos. Verificar interfaz, API y persistencia. Usar integración existente; si no está disponible, registrar bloqueo. La consola prueba el canje por API (redeem); el descuento de medallas del alumno depende de la app del alumno (fuera de alcance).</t>
  </si>
  <si>
    <t xml:space="preserve">Evitar sobreventa concurrente</t>
  </si>
  <si>
    <t xml:space="preserve">1. Preparar última unidad. 2. Enviar dos solicitudes de canje simultáneas. 3. Revisar registros y saldos.</t>
  </si>
  <si>
    <t xml:space="preserve">Stock 1 y dos usuarios con saldo suficiente.</t>
  </si>
  <si>
    <t xml:space="preserve">Se confirma solo un canje; stock nunca negativo; segundo usuario conserva saldo.</t>
  </si>
  <si>
    <t xml:space="preserve">Bloqueado según la planilla estándar (E-3.12).</t>
  </si>
  <si>
    <t xml:space="preserve">Conciliación</t>
  </si>
  <si>
    <t xml:space="preserve">Comparar ofrecidos y canjeados</t>
  </si>
  <si>
    <t xml:space="preserve">1. Preparar totales controlados. 2. Abrir conciliación. 3. Comparar con los registros originales.</t>
  </si>
  <si>
    <t xml:space="preserve">10 unidades ofrecidas, 3 canjes confirmados y 7 disponibles según modelo vigente.</t>
  </si>
  <si>
    <t xml:space="preserve">Panel concilia 10 ofrecidas, 3 canjeadas y 7 disponibles sin incluir fallas o duplicados.</t>
  </si>
  <si>
    <t xml:space="preserve">Criterio oficial 4 verificado por el equipo; smoke: benefitsOffered coincide con los beneficios activos.</t>
  </si>
  <si>
    <t xml:space="preserve">Validar panel sin datos</t>
  </si>
  <si>
    <t xml:space="preserve">1. Consultar periodo sin aportes ni canjes. 2. Revisar tabla, gráfico y mensajes.</t>
  </si>
  <si>
    <t xml:space="preserve">Periodo vacío y semilla controlada.</t>
  </si>
  <si>
    <t xml:space="preserve">Muestra estado vacío comprensible, sin errores ni cifras atribuidas a otros periodos.</t>
  </si>
  <si>
    <t xml:space="preserve">Verificado por el equipo (pruebas estándar E-4.3).</t>
  </si>
  <si>
    <t xml:space="preserve">Persistencia</t>
  </si>
  <si>
    <t xml:space="preserve">Verificar modelo administrativo</t>
  </si>
  <si>
    <t xml:space="preserve">1. Crear y modificar registros clave. 2. Inspeccionar documentos. 3. Comparar tipos, campos y relaciones con modelo vigente.</t>
  </si>
  <si>
    <t xml:space="preserve">Aprueba_Admin_Modelo_Datos_Firestore y registros QA.</t>
  </si>
  <si>
    <t xml:space="preserve">Datos cumplen modelo vigente; desviaciones se registran con requisito y campo afectado.</t>
  </si>
  <si>
    <t xml:space="preserve">Verificado por el equipo (pruebas estándar E-2.17).</t>
  </si>
  <si>
    <t xml:space="preserve">Resumen</t>
  </si>
  <si>
    <t xml:space="preserve">Verificar KPI y navegación</t>
  </si>
  <si>
    <t xml:space="preserve">1. Preparar datos conocidos. 2. Abrir Resumen. 3. Comparar KPI con origen y abrir navegación asociada.</t>
  </si>
  <si>
    <t xml:space="preserve">Usuarios, planes y métricas de semilla.</t>
  </si>
  <si>
    <t xml:space="preserve">KPI concuerda con la fórmula del requisito vigente y navegación abre la vista correspondiente. Los valores se comparan con las métricas sintéticas generadas en la semilla (generate:metrics), no con datos reales de producción.</t>
  </si>
  <si>
    <t xml:space="preserve">Verificado por el equipo (pruebas estándar E-1.1, E-1.11).</t>
  </si>
  <si>
    <t xml:space="preserve">Responsable propuesto: frontend. Registrar capturas, fecha, commit y dispositivo. Módulo complementario: confirmar definición de cada KPI.</t>
  </si>
  <si>
    <t xml:space="preserve">Comercial</t>
  </si>
  <si>
    <t xml:space="preserve">Filtrar fechas y exportar CSV</t>
  </si>
  <si>
    <t xml:space="preserve">1. Elegir rango con datos conocidos. 2. Comparar gráfico y recaudación. 3. Exportar CSV y abrirlo.</t>
  </si>
  <si>
    <t xml:space="preserve">Registros dentro y fuera del rango.</t>
  </si>
  <si>
    <t xml:space="preserve">Gráficos y exportación reflejan el rango y el contrato; archivo legible sin datos fuera de alcance.</t>
  </si>
  <si>
    <t xml:space="preserve">Verificado por el equipo (pruebas estándar E-4.2).</t>
  </si>
  <si>
    <t xml:space="preserve">Responsable propuesto: frontend. Registrar capturas, fecha, commit y dispositivo. Confirmar que la vista Comercial tenga exportación CSV; si no existe, marcar Bloqueado o No aplica con justificación.</t>
  </si>
  <si>
    <t xml:space="preserve">Usuarios</t>
  </si>
  <si>
    <t xml:space="preserve">Consultar usuario y detalle</t>
  </si>
  <si>
    <t xml:space="preserve">1. Buscar usuario de prueba. 2. Abrir detalle. 3. Comparar con API y cerrar.</t>
  </si>
  <si>
    <t xml:space="preserve">Usuario QA y datos no sensibles.</t>
  </si>
  <si>
    <t xml:space="preserve">Se muestra el usuario correcto, sin mezclar datos ni exponer campos restringidos.</t>
  </si>
  <si>
    <t xml:space="preserve">Smoke: lista con paginación, estadísticas, búsqueda, detalle, suspensión y reactivación OK.</t>
  </si>
  <si>
    <t xml:space="preserve">Responsable propuesto: frontend. Registrar capturas, fecha, commit y dispositivo.</t>
  </si>
  <si>
    <t xml:space="preserve">Tickets</t>
  </si>
  <si>
    <t xml:space="preserve">Gestionar transición de estado</t>
  </si>
  <si>
    <t xml:space="preserve">1. Abrir ticket. 2. Ejecutar transición permitida. 3. Intentar transición no permitida por API.</t>
  </si>
  <si>
    <t xml:space="preserve">Ticket QA y estados del contrato vigente.</t>
  </si>
  <si>
    <t xml:space="preserve">Transición válida persiste; inválida se rechaza sin cambiar el estado.</t>
  </si>
  <si>
    <t xml:space="preserve">Smoke: transiciones válidas OK e inválidas → 409 INVALID_STATE_TRANSITION.</t>
  </si>
  <si>
    <t xml:space="preserve">Recorrecciones</t>
  </si>
  <si>
    <t xml:space="preserve">Verificar contador en modo oscuro</t>
  </si>
  <si>
    <t xml:space="preserve">1. Preparar solicitudes. 2. Activar tema oscuro. 3. Abrir pestaña activa. 4. Comparar contador con registros.</t>
  </si>
  <si>
    <t xml:space="preserve">Solicitudes QA y tema oscuro.</t>
  </si>
  <si>
    <t xml:space="preserve">Insignia legible y contador correcto; no queda círculo blanco ilegible.</t>
  </si>
  <si>
    <t xml:space="preserve">Verificado por el equipo (pruebas estándar E-1.9, E-1.10).</t>
  </si>
  <si>
    <t xml:space="preserve">Responsable propuesto: frontend. Registrar capturas, fecha, commit y dispositivo. Incidencia visual reportada pendiente de confirmar.</t>
  </si>
  <si>
    <t xml:space="preserve">Tutores</t>
  </si>
  <si>
    <t xml:space="preserve">Cambiar tutor seleccionado</t>
  </si>
  <si>
    <t xml:space="preserve">1. Abrir tutor A. 2. Seleccionar B sin cerrar ficha. 3. Repetir con datos incompletos de prueba.</t>
  </si>
  <si>
    <t xml:space="preserve">Dos tutores y registros incompletos permitidos por ambiente de prueba.</t>
  </si>
  <si>
    <t xml:space="preserve">La ficha cambia al tutor elegido sin quedarse en el anterior.</t>
  </si>
  <si>
    <t xml:space="preserve">Verificado por el equipo (pruebas estándar E-1.6).</t>
  </si>
  <si>
    <t xml:space="preserve">Verificar avatar y hoja móvil</t>
  </si>
  <si>
    <t xml:space="preserve">1. Abrir ficha a 360 y 390 px. 2. Desplazarse por detalle. 3. Cerrar tocando fondo.</t>
  </si>
  <si>
    <t xml:space="preserve">Tutor con avatar y ficha extensa.</t>
  </si>
  <si>
    <t xml:space="preserve">Avatar completo, encabezado legible, fondo sin scroll mientras ficha abierta y cierre funcional.</t>
  </si>
  <si>
    <t xml:space="preserve">Verificado por el equipo (pruebas estándar E-1.7).</t>
  </si>
  <si>
    <t xml:space="preserve">Responsable propuesto: frontend. Registrar capturas, fecha, commit y dispositivo. Avatar cortado: pendiente de confirmación visual.</t>
  </si>
  <si>
    <t xml:space="preserve">Mostrar confirmación de eliminación</t>
  </si>
  <si>
    <t xml:space="preserve">1. Abrir ficha móvil. 2. Pulsar eliminar definitivamente. 3. Cancelar. 4. Confirmar en registro descartable.</t>
  </si>
  <si>
    <t xml:space="preserve">Tutor QA eliminable y ancho 390 px.</t>
  </si>
  <si>
    <t xml:space="preserve">Modal aparece sobre la ficha. Cancelar conserva el tutor y confirmar aplica la política vigente.</t>
  </si>
  <si>
    <t xml:space="preserve">Verificado por el equipo (pruebas estándar E-1.5).</t>
  </si>
  <si>
    <t xml:space="preserve">Responsable propuesto: frontend. Registrar capturas, fecha, commit y dispositivo. Revisar capas de modal. Prueba destructiva solo en emulador.</t>
  </si>
  <si>
    <t xml:space="preserve">Persistir estado y verificación</t>
  </si>
  <si>
    <t xml:space="preserve">1. Cambiar estado permitido. 2. Verificar o quitar verificación. 3. Recargar.</t>
  </si>
  <si>
    <t xml:space="preserve">Tutor QA y rol autorizado.</t>
  </si>
  <si>
    <t xml:space="preserve">Estado e insignia coinciden con persistencia y API tras recargar.</t>
  </si>
  <si>
    <t xml:space="preserve">Verificado por el equipo (pruebas estándar E-3.14).</t>
  </si>
  <si>
    <t xml:space="preserve">Responsable propuesto: frontend. Registrar capturas, fecha, commit y dispositivo. Tutores no figura en la API admin de Max; contrastar con el README del repo.</t>
  </si>
  <si>
    <t xml:space="preserve">Planes</t>
  </si>
  <si>
    <t xml:space="preserve">Validar cambios de plan</t>
  </si>
  <si>
    <t xml:space="preserve">1. Consultar plan. 2. Modificar dato permitido. 3. Guardar y recargar. 4. Probar valor inválido.</t>
  </si>
  <si>
    <t xml:space="preserve">Plan QA y campos editables definidos en contrato.</t>
  </si>
  <si>
    <t xml:space="preserve">Cambio válido persiste; inválido se rechaza sin alterar el plan original.</t>
  </si>
  <si>
    <t xml:space="preserve">Smoke: validaciones de plan (422/409/400), conflicto de edición y borrado protegido OK.</t>
  </si>
  <si>
    <t xml:space="preserve">Prioridad alta. Responsable propuesto: backend. Registrar evidencia, fecha, commit y ambiente. Confirmar alcance y reglas implementadas antes de ejecutar.</t>
  </si>
  <si>
    <t xml:space="preserve">Contenido</t>
  </si>
  <si>
    <t xml:space="preserve">Validar operación autorizada</t>
  </si>
  <si>
    <t xml:space="preserve">1. Consultar contenido. 2. Ejecutar operación disponible con rol autorizado. 3. Repetir con rol restringido.</t>
  </si>
  <si>
    <t xml:space="preserve">Contenido QA y operación definida en el README del repo (Contenido no figura en la API admin de Max).</t>
  </si>
  <si>
    <t xml:space="preserve">Operación permitida persiste y acceso restringido se rechaza.</t>
  </si>
  <si>
    <t xml:space="preserve">Pendiente de ejecución</t>
  </si>
  <si>
    <t xml:space="preserve">Prioridad alta. Responsable propuesto: backend. Registrar evidencia, fecha, commit y ambiente. Si requisito o flujo no está disponible, registrar bloqueo.</t>
  </si>
  <si>
    <t xml:space="preserve">Pendiente</t>
  </si>
  <si>
    <t xml:space="preserve">Operativa</t>
  </si>
  <si>
    <t xml:space="preserve">Comparar métricas operativas</t>
  </si>
  <si>
    <t xml:space="preserve">1. Preparar la configuración simulada conocida. 2. Abrir Operativa. 3. Comparar métricas con esa configuración.</t>
  </si>
  <si>
    <t xml:space="preserve">Semilla, configuración de operativa simulada y definición vigente de métricas.</t>
  </si>
  <si>
    <t xml:space="preserve">Valores coherentes con la simulación operativa configurada (fuente 'simulated') y con el período. Errores de servicio producen mensaje comprensible.</t>
  </si>
  <si>
    <t xml:space="preserve">Smoke: servicios, contenedores y plataformas OK (datos simulados, fuente 'simulated'); reinicio y estados coherentes.</t>
  </si>
  <si>
    <t xml:space="preserve">Auditoría</t>
  </si>
  <si>
    <t xml:space="preserve">Verificar trazabilidad</t>
  </si>
  <si>
    <t xml:space="preserve">1. Ejecutar modificación auditable. 2. Consultar Auditoría con rol permitido. 3. Contrastar registro.</t>
  </si>
  <si>
    <t xml:space="preserve">Acción QA, usuario ejecutor y marca temporal controlada.</t>
  </si>
  <si>
    <t xml:space="preserve">Registro identifica actor, acción y recurso según contrato sin incluir secretos.</t>
  </si>
  <si>
    <t xml:space="preserve">Verificado por el equipo (pruebas estándar E-3.15).</t>
  </si>
  <si>
    <t xml:space="preserve">Interfaz</t>
  </si>
  <si>
    <t xml:space="preserve">Adaptación y breakpoint móvil</t>
  </si>
  <si>
    <t xml:space="preserve">1. Revisar Resumen, Comercial, Sponsors y Tutores en anchos de prueba. 2. Probar botones y desplazamiento.</t>
  </si>
  <si>
    <t xml:space="preserve">360, 390, 620, 621, 1366 y 1920 px.</t>
  </si>
  <si>
    <t xml:space="preserve">Contenido accesible sin recortes; tablas conservan lectura; a 621 px transición sin solapamientos.</t>
  </si>
  <si>
    <t xml:space="preserve">Verificado por el equipo (pruebas estándar E-1.12, E-1.13, E-1.14).</t>
  </si>
  <si>
    <t xml:space="preserve">Temas y tamaño de iconos KPI</t>
  </si>
  <si>
    <t xml:space="preserve">1. Alternar claro y oscuro. 2. Revisar Resumen y Tutores. 3. Comprobar contraste e iconos.</t>
  </si>
  <si>
    <t xml:space="preserve">Ambos temas y anchos móvil/escritorio.</t>
  </si>
  <si>
    <t xml:space="preserve">Iconos KPI sin cortes y consistentes con diseño; texto y controles legibles en ambos temas.</t>
  </si>
  <si>
    <t xml:space="preserve">Verificado por el equipo (pruebas estándar E-1.8, E-1.9, E-1.11).</t>
  </si>
  <si>
    <t xml:space="preserve">Responsable propuesto: frontend. Registrar capturas, fecha, commit y dispositivo. Cambio reportado de 40 px: confirmar visualmente.</t>
  </si>
  <si>
    <t xml:space="preserve">Traducir ES y EN</t>
  </si>
  <si>
    <t xml:space="preserve">1. Cambiar idioma. 2. Revisar títulos, formularios y errores. 3. Recargar.</t>
  </si>
  <si>
    <t xml:space="preserve">Idiomas ES y EN en módulos prioritarios.</t>
  </si>
  <si>
    <t xml:space="preserve">Textos del alcance se traducen sin claves visibles ni título duplicado Overview.</t>
  </si>
  <si>
    <t xml:space="preserve">Verificado por el equipo (pruebas estándar E-1.15).</t>
  </si>
  <si>
    <t xml:space="preserve">Compatibilidad</t>
  </si>
  <si>
    <t xml:space="preserve">Comparar flujo crítico en navegadores</t>
  </si>
  <si>
    <t xml:space="preserve">1. Ejecutar login y CRUD Sponsor en Chrome. 2. Repetir en Edge. 3. Comparar interacción y persistencia.</t>
  </si>
  <si>
    <t xml:space="preserve">Versiones actuales registradas y mismo conjunto QA.</t>
  </si>
  <si>
    <t xml:space="preserve">Mismo comportamiento esperado en ambos navegadores; registrar versión y evidencia.</t>
  </si>
  <si>
    <t xml:space="preserve">Verificado por el equipo (pruebas estándar E-1.16).</t>
  </si>
  <si>
    <t xml:space="preserve">Errores</t>
  </si>
  <si>
    <t xml:space="preserve">Gestionar fallo de API</t>
  </si>
  <si>
    <t xml:space="preserve">1. Simular fallo controlado de servicio en emulador. 2. Abrir módulo y guardar cambio. 3. Restablecer servicio.</t>
  </si>
  <si>
    <t xml:space="preserve">Fallo controlado sin afectar despliegue compartido.</t>
  </si>
  <si>
    <t xml:space="preserve">La interfaz muestra error y evita confirmar cambios no guardados; recuperación sin duplicados.</t>
  </si>
  <si>
    <t xml:space="preserve">Regresión</t>
  </si>
  <si>
    <t xml:space="preserve">Repetir después de corregir defectos</t>
  </si>
  <si>
    <t xml:space="preserve">1. Aplicar corrección en commit nuevo. 2. Restaurar semilla. 3. Repetir smoke, caso afectado y dependencias.</t>
  </si>
  <si>
    <t xml:space="preserve">Commit corregido y semilla equivalente al ciclo anterior.</t>
  </si>
  <si>
    <t xml:space="preserve">Smoke aprobada y defecto revalidado sin regresiones. Documentar cada ejecución y versión.</t>
  </si>
  <si>
    <t xml:space="preserve">Responsables propuestos: ambos. El estado no se hereda de una ejecución anterior.</t>
  </si>
  <si>
    <t xml:space="preserve">Resumen de pruebas de Aprueba Administración</t>
  </si>
  <si>
    <t xml:space="preserve">Total Pruebas Estándar OK</t>
  </si>
  <si>
    <t xml:space="preserve">Total  Pruebas Estándar NO CUMPLE</t>
  </si>
  <si>
    <t xml:space="preserve">Total  Pruebas Estándar NO APLICA</t>
  </si>
  <si>
    <t xml:space="preserve">Total pruebas estándar pendientes</t>
  </si>
  <si>
    <t xml:space="preserve">Total  Pruebas Estándar BLOQUEADAS</t>
  </si>
  <si>
    <t xml:space="preserve">Total casos de Prueba</t>
  </si>
  <si>
    <t xml:space="preserve">Total casos de Prueba OK</t>
  </si>
  <si>
    <t xml:space="preserve">Total casos de Prueba NO OK</t>
  </si>
  <si>
    <t xml:space="preserve">Total casos de Prueba NO Aplica</t>
  </si>
  <si>
    <t xml:space="preserve">Total casos de Prueba No revisados</t>
  </si>
  <si>
    <t xml:space="preserve">   de los cuales bloqueados</t>
  </si>
  <si>
    <t xml:space="preserve">Comprobaciones smoke reportadas</t>
  </si>
  <si>
    <t xml:space="preserve">Ejecución smoke de este ciclo</t>
  </si>
  <si>
    <t xml:space="preserve">Ejecutada: 110 comprobaciones OK en el emulador. Falta conservar salida, fecha y commit.</t>
  </si>
  <si>
    <t xml:space="preserve">SEG-01 y SEG-02: defectos conocidos reportados; reproducir y revalidar. El cierre integral exige cero críticos o altos abiertos.</t>
  </si>
  <si>
    <t xml:space="preserve">Fuentes: Plan de Pruebas revisión 1.2 y antecedentes del equipo al 09/10/2026.</t>
  </si>
  <si>
    <t xml:space="preserve">Referencias vigentes: Aprueba_Admin_API_FastAPI y Aprueba_Admin_Modelo_Datos_Firestore.</t>
  </si>
  <si>
    <t xml:space="preserve">La smoke es una suite de 110 comprobaciones; se registra como un caso de ejecución, no como 110 casos inventados.</t>
  </si>
  <si>
    <t xml:space="preserve">En cada caso marcar una sola x en SI, NO o N/A. Registrar resultado real en Descripción y evidencia, fecha, commit y ambiente en Observación.</t>
  </si>
  <si>
    <t xml:space="preserve">Datos académicos y responsables nominales de la cabecera se completan después. Las observaciones indican responsable propuesto por rol.</t>
  </si>
  <si>
    <t xml:space="preserve">El cierre funcional reportado de Sponsors no acredita ejecución de esta planilla ni aceptación final de seguridad.</t>
  </si>
  <si>
    <t xml:space="preserve">Los contratos y campos exactos se contrastan con Aprueba_Admin_API_FastAPI y Aprueba_Admin_Modelo_Datos_Firestore antes de ejecutar. Tutores y Contenido no figuran en esos documentos; se contrastan con el README del repo.</t>
  </si>
  <si>
    <t xml:space="preserve">Estado de cada caso: columna ESTADO de la hoja Casos de Prueba (Pendiente, En ejecución, Aprobado, Fallido, Bloqueado o No aplica). Las columnas SI, NO y N/A se calculan automáticamente a partir del estado; no se marcan a mano.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</si>
</sst>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/m/yyyy"/>
    <numFmt numFmtId="166" formatCode="@"/>
  </numFmts>
  <fonts count="3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"/>
    </font>
    <font>
      <b val="true"/>
      <u val="single"/>
      <sz val="24"/>
      <color theme="1"/>
      <name val="Arial"/>
      <family val="0"/>
      <charset val="1"/>
    </font>
    <font>
      <u val="single"/>
      <sz val="24"/>
      <color theme="1"/>
      <name val="Impact"/>
      <family val="0"/>
      <charset val="1"/>
    </font>
    <font>
      <b val="true"/>
      <sz val="12"/>
      <color theme="1"/>
      <name val="Arial"/>
      <family val="0"/>
      <charset val="1"/>
    </font>
    <font>
      <b val="true"/>
      <i val="true"/>
      <sz val="22"/>
      <color rgb="FF000080"/>
      <name val="Verdana"/>
      <family val="0"/>
      <charset val="1"/>
    </font>
    <font>
      <b val="true"/>
      <sz val="12"/>
      <color theme="1"/>
      <name val="Antique Olive"/>
      <family val="0"/>
      <charset val="1"/>
    </font>
    <font>
      <sz val="12"/>
      <color theme="1"/>
      <name val="Impact"/>
      <family val="0"/>
      <charset val="1"/>
    </font>
    <font>
      <sz val="12"/>
      <color theme="1"/>
      <name val="Antique Olive"/>
      <family val="0"/>
      <charset val="1"/>
    </font>
    <font>
      <b val="true"/>
      <sz val="14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8"/>
      <color theme="1"/>
      <name val="Tahoma"/>
      <family val="0"/>
      <charset val="1"/>
    </font>
    <font>
      <b val="true"/>
      <sz val="8"/>
      <color rgb="FF000000"/>
      <name val="Tahoma"/>
      <family val="0"/>
      <charset val="1"/>
    </font>
    <font>
      <sz val="16"/>
      <color theme="1"/>
      <name val="Tahoma"/>
      <family val="0"/>
      <charset val="1"/>
    </font>
    <font>
      <sz val="9"/>
      <color theme="1"/>
      <name val="Tahoma"/>
      <family val="0"/>
      <charset val="1"/>
    </font>
    <font>
      <b val="true"/>
      <u val="single"/>
      <sz val="8"/>
      <color theme="1"/>
      <name val="Tahoma"/>
      <family val="0"/>
      <charset val="1"/>
    </font>
    <font>
      <b val="true"/>
      <sz val="9"/>
      <color theme="1"/>
      <name val="Tahoma"/>
      <family val="0"/>
      <charset val="1"/>
    </font>
    <font>
      <b val="true"/>
      <sz val="8"/>
      <color theme="1"/>
      <name val="Tahoma"/>
      <family val="0"/>
      <charset val="1"/>
    </font>
    <font>
      <b val="true"/>
      <sz val="9"/>
      <color rgb="FF000000"/>
      <name val="Tahoma"/>
      <family val="0"/>
      <charset val="1"/>
    </font>
    <font>
      <sz val="8"/>
      <color theme="1"/>
      <name val="Arial"/>
      <family val="0"/>
      <charset val="1"/>
    </font>
    <font>
      <sz val="10"/>
      <color theme="1"/>
      <name val="Tahoma"/>
      <family val="0"/>
      <charset val="1"/>
    </font>
    <font>
      <b val="true"/>
      <sz val="10"/>
      <color theme="1"/>
      <name val="Tahoma"/>
      <family val="0"/>
      <charset val="1"/>
    </font>
    <font>
      <sz val="10"/>
      <name val="Arial"/>
      <family val="2"/>
    </font>
    <font>
      <b val="true"/>
      <sz val="18"/>
      <color rgb="FF757575"/>
      <name val="Arial"/>
      <family val="2"/>
    </font>
    <font>
      <sz val="10"/>
      <color rgb="FF000000"/>
      <name val="Arial"/>
      <family val="2"/>
    </font>
    <font>
      <sz val="10"/>
      <color rgb="FF1A1A1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CCCFF"/>
        <bgColor rgb="FFBDD7EE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3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2" fillId="3" borderId="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5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6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7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8" fillId="2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8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0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3" fillId="2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1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1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2" fillId="2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2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2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4" fillId="2" borderId="2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2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24" fillId="2" borderId="2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2" borderId="2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4" fillId="2" borderId="2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2" borderId="2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2" borderId="2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2" borderId="2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2" borderId="2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2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2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2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2" borderId="2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BDD7EE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757575"/>
      <rgbColor rgb="FF9999FF"/>
      <rgbColor rgb="FFC0504D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BDD7EE"/>
      <rgbColor rgb="FFFF99CC"/>
      <rgbColor rgb="FFCC99FF"/>
      <rgbColor rgb="FFFFC7CE"/>
      <rgbColor rgb="FF4F81BD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757575"/>
                </a:solidFill>
                <a:latin typeface="Arial"/>
                <a:ea typeface="Arial"/>
              </a:defRPr>
            </a:pPr>
            <a:r>
              <a:rPr b="1" sz="1800" spc="-1" strike="noStrike">
                <a:solidFill>
                  <a:srgbClr val="757575"/>
                </a:solidFill>
                <a:latin typeface="Arial"/>
                <a:ea typeface="Arial"/>
              </a:rPr>
              <a:t>Distribución por Casos de Prueba</a:t>
            </a:r>
          </a:p>
        </c:rich>
      </c:tx>
      <c:layout>
        <c:manualLayout>
          <c:xMode val="edge"/>
          <c:yMode val="edge"/>
          <c:x val="0.215671681462974"/>
          <c:y val="0.0540130657956136"/>
        </c:manualLayout>
      </c:layout>
      <c:overlay val="0"/>
      <c:spPr>
        <a:noFill/>
        <a:ln w="0">
          <a:noFill/>
        </a:ln>
      </c:spPr>
    </c:title>
    <c:autoTitleDeleted val="0"/>
    <c:view3D>
      <c:rotX val="15"/>
      <c:rotY val="0"/>
      <c:rAngAx val="0"/>
      <c:perspective val="30"/>
    </c:view3D>
    <c:floor>
      <c:spPr>
        <a:solidFill>
          <a:srgbClr val="d9d9d9"/>
        </a:solidFill>
        <a:ln w="0">
          <a:noFill/>
        </a:ln>
      </c:spPr>
    </c:floor>
    <c:sideWall>
      <c:spPr>
        <a:solidFill>
          <a:srgbClr val="d9d9d9"/>
        </a:solidFill>
        <a:ln w="0">
          <a:noFill/>
        </a:ln>
      </c:spPr>
    </c:sideWall>
    <c:backWall>
      <c:spPr>
        <a:solidFill>
          <a:srgbClr val="d9d9d9"/>
        </a:solidFill>
        <a:ln w="0">
          <a:noFill/>
        </a:ln>
      </c:spPr>
    </c:backWall>
    <c:plotArea>
      <c:layout>
        <c:manualLayout>
          <c:layoutTarget val="inner"/>
          <c:xMode val="edge"/>
          <c:yMode val="edge"/>
          <c:x val="0.171229599702302"/>
          <c:y val="0.285930937937471"/>
          <c:w val="0.314815799266387"/>
          <c:h val="0.54129724685021"/>
        </c:manualLayout>
      </c:layout>
      <c:pie3D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explosion val="17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  <a:ea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  <a:ea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  <a:ea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  <a:ea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val>
            <c:numRef>
              <c:f>Totales!$C$12:$C$15</c:f>
              <c:numCache>
                <c:formatCode>General</c:formatCode>
                <c:ptCount val="4"/>
                <c:pt idx="0">
                  <c:v>36</c:v>
                </c:pt>
                <c:pt idx="1">
                  <c:v>2</c:v>
                </c:pt>
                <c:pt idx="2">
                  <c:v>0</c:v>
                </c:pt>
                <c:pt idx="3">
                  <c:v>10</c:v>
                </c:pt>
              </c:numCache>
            </c:numRef>
          </c:val>
        </c:ser>
      </c:pie3DChart>
    </c:plotArea>
    <c:legend>
      <c:legendPos val="r"/>
      <c:layout>
        <c:manualLayout>
          <c:xMode val="edge"/>
          <c:yMode val="edge"/>
          <c:x val="0.603806228373703"/>
          <c:y val="0.258914114608913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Arial"/>
              <a:ea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723960</xdr:colOff>
      <xdr:row>0</xdr:row>
      <xdr:rowOff>0</xdr:rowOff>
    </xdr:from>
    <xdr:to>
      <xdr:col>1</xdr:col>
      <xdr:colOff>1180440</xdr:colOff>
      <xdr:row>0</xdr:row>
      <xdr:rowOff>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1217520" y="0"/>
          <a:ext cx="456480" cy="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0</xdr:row>
      <xdr:rowOff>142920</xdr:rowOff>
    </xdr:from>
    <xdr:to>
      <xdr:col>1</xdr:col>
      <xdr:colOff>1029600</xdr:colOff>
      <xdr:row>2</xdr:row>
      <xdr:rowOff>94320</xdr:rowOff>
    </xdr:to>
    <xdr:pic>
      <xdr:nvPicPr>
        <xdr:cNvPr id="1" name="image2.png" descr=""/>
        <xdr:cNvPicPr/>
      </xdr:nvPicPr>
      <xdr:blipFill>
        <a:blip r:embed="rId2"/>
        <a:stretch/>
      </xdr:blipFill>
      <xdr:spPr>
        <a:xfrm>
          <a:off x="19080" y="142920"/>
          <a:ext cx="1504080" cy="361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123840</xdr:colOff>
      <xdr:row>6</xdr:row>
      <xdr:rowOff>19080</xdr:rowOff>
    </xdr:from>
    <xdr:to>
      <xdr:col>12</xdr:col>
      <xdr:colOff>663480</xdr:colOff>
      <xdr:row>21</xdr:row>
      <xdr:rowOff>304200</xdr:rowOff>
    </xdr:to>
    <xdr:graphicFrame>
      <xdr:nvGraphicFramePr>
        <xdr:cNvPr id="2" name="Chart 1"/>
        <xdr:cNvGraphicFramePr/>
      </xdr:nvGraphicFramePr>
      <xdr:xfrm>
        <a:off x="9551520" y="1209600"/>
        <a:ext cx="6771600" cy="3085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B8" activeCellId="0" sqref="B8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6.63"/>
    <col collapsed="false" customWidth="true" hidden="false" outlineLevel="0" max="3" min="2" style="1" width="40"/>
    <col collapsed="false" customWidth="true" hidden="false" outlineLevel="0" max="4" min="4" style="1" width="14"/>
    <col collapsed="false" customWidth="true" hidden="false" outlineLevel="0" max="5" min="5" style="1" width="26.75"/>
    <col collapsed="false" customWidth="true" hidden="false" outlineLevel="0" max="6" min="6" style="1" width="38.63"/>
    <col collapsed="false" customWidth="true" hidden="false" outlineLevel="0" max="7" min="7" style="1" width="5.13"/>
    <col collapsed="false" customWidth="true" hidden="false" outlineLevel="0" max="8" min="8" style="1" width="4"/>
    <col collapsed="false" customWidth="true" hidden="false" outlineLevel="0" max="9" min="9" style="1" width="4.38"/>
    <col collapsed="false" customWidth="true" hidden="false" outlineLevel="0" max="10" min="10" style="1" width="34.63"/>
    <col collapsed="false" customWidth="true" hidden="false" outlineLevel="0" max="24" min="11" style="1" width="11.38"/>
  </cols>
  <sheetData>
    <row r="1" customFormat="false" ht="30" hidden="false" customHeight="true" outlineLevel="0" collapsed="false">
      <c r="A1" s="2"/>
      <c r="B1" s="3" t="s">
        <v>0</v>
      </c>
      <c r="C1" s="3"/>
      <c r="D1" s="4"/>
      <c r="E1" s="4"/>
      <c r="F1" s="4"/>
      <c r="G1" s="5"/>
      <c r="H1" s="5"/>
      <c r="I1" s="5"/>
      <c r="J1" s="5"/>
      <c r="K1" s="6"/>
      <c r="L1" s="6"/>
      <c r="M1" s="6"/>
      <c r="N1" s="6"/>
      <c r="O1" s="6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8" hidden="false" customHeight="true" outlineLevel="0" collapsed="false">
      <c r="A2" s="2"/>
      <c r="B2" s="7"/>
      <c r="C2" s="5"/>
      <c r="D2" s="5"/>
      <c r="E2" s="5"/>
      <c r="F2" s="5"/>
      <c r="G2" s="5"/>
      <c r="H2" s="5"/>
      <c r="I2" s="5"/>
      <c r="J2" s="5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45.75" hidden="false" customHeight="true" outlineLevel="0" collapsed="false">
      <c r="A3" s="2"/>
      <c r="B3" s="8" t="s">
        <v>1</v>
      </c>
      <c r="C3" s="8"/>
      <c r="D3" s="8"/>
      <c r="E3" s="9"/>
      <c r="F3" s="9"/>
      <c r="G3" s="9"/>
      <c r="H3" s="9"/>
      <c r="I3" s="9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39.75" hidden="false" customHeight="true" outlineLevel="0" collapsed="false">
      <c r="A4" s="2"/>
      <c r="B4" s="10" t="s">
        <v>2</v>
      </c>
      <c r="C4" s="10"/>
      <c r="D4" s="10"/>
      <c r="E4" s="11"/>
      <c r="F4" s="9"/>
      <c r="G4" s="9"/>
      <c r="H4" s="9"/>
      <c r="I4" s="9"/>
      <c r="J4" s="9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30.75" hidden="false" customHeight="true" outlineLevel="0" collapsed="false">
      <c r="A5" s="2"/>
      <c r="B5" s="12"/>
      <c r="C5" s="13"/>
      <c r="D5" s="11"/>
      <c r="E5" s="11"/>
      <c r="F5" s="9"/>
      <c r="G5" s="9"/>
      <c r="H5" s="9"/>
      <c r="I5" s="9"/>
      <c r="J5" s="9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21" hidden="false" customHeight="true" outlineLevel="0" collapsed="false">
      <c r="A6" s="14" t="s">
        <v>3</v>
      </c>
      <c r="B6" s="15" t="s">
        <v>4</v>
      </c>
      <c r="C6" s="15"/>
      <c r="D6" s="16" t="s">
        <v>5</v>
      </c>
      <c r="E6" s="17"/>
      <c r="F6" s="18"/>
      <c r="G6" s="19"/>
      <c r="H6" s="19"/>
      <c r="I6" s="19"/>
      <c r="J6" s="19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42" hidden="false" customHeight="true" outlineLevel="0" collapsed="false">
      <c r="A7" s="20" t="s">
        <v>6</v>
      </c>
      <c r="B7" s="21" t="s">
        <v>7</v>
      </c>
      <c r="C7" s="21"/>
      <c r="D7" s="22" t="s">
        <v>8</v>
      </c>
      <c r="E7" s="23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42" hidden="false" customHeight="true" outlineLevel="0" collapsed="false">
      <c r="A8" s="24" t="s">
        <v>9</v>
      </c>
      <c r="B8" s="25" t="s">
        <v>10</v>
      </c>
      <c r="C8" s="25"/>
      <c r="D8" s="26" t="s">
        <v>8</v>
      </c>
      <c r="E8" s="23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42" hidden="false" customHeight="true" outlineLevel="0" collapsed="false">
      <c r="A9" s="24" t="s">
        <v>11</v>
      </c>
      <c r="B9" s="25" t="s">
        <v>12</v>
      </c>
      <c r="C9" s="25"/>
      <c r="D9" s="26" t="s">
        <v>8</v>
      </c>
      <c r="E9" s="23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42" hidden="false" customHeight="true" outlineLevel="0" collapsed="false">
      <c r="A10" s="24" t="s">
        <v>13</v>
      </c>
      <c r="B10" s="25" t="s">
        <v>14</v>
      </c>
      <c r="C10" s="25"/>
      <c r="D10" s="26" t="s">
        <v>8</v>
      </c>
      <c r="E10" s="23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42" hidden="false" customHeight="true" outlineLevel="0" collapsed="false">
      <c r="A11" s="24" t="s">
        <v>15</v>
      </c>
      <c r="B11" s="25" t="s">
        <v>16</v>
      </c>
      <c r="C11" s="25"/>
      <c r="D11" s="26" t="s">
        <v>8</v>
      </c>
      <c r="E11" s="2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42" hidden="false" customHeight="true" outlineLevel="0" collapsed="false">
      <c r="A12" s="24" t="s">
        <v>17</v>
      </c>
      <c r="B12" s="25" t="s">
        <v>18</v>
      </c>
      <c r="C12" s="25"/>
      <c r="D12" s="26" t="s">
        <v>8</v>
      </c>
      <c r="E12" s="23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42" hidden="false" customHeight="true" outlineLevel="0" collapsed="false">
      <c r="A13" s="24" t="s">
        <v>19</v>
      </c>
      <c r="B13" s="25" t="s">
        <v>20</v>
      </c>
      <c r="C13" s="25"/>
      <c r="D13" s="26" t="s">
        <v>8</v>
      </c>
      <c r="E13" s="23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42" hidden="false" customHeight="true" outlineLevel="0" collapsed="false">
      <c r="A14" s="24" t="s">
        <v>21</v>
      </c>
      <c r="B14" s="25" t="s">
        <v>22</v>
      </c>
      <c r="C14" s="25"/>
      <c r="D14" s="26" t="s">
        <v>8</v>
      </c>
      <c r="E14" s="23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42" hidden="false" customHeight="true" outlineLevel="0" collapsed="false">
      <c r="A15" s="24" t="s">
        <v>23</v>
      </c>
      <c r="B15" s="25" t="s">
        <v>24</v>
      </c>
      <c r="C15" s="25"/>
      <c r="D15" s="26" t="s">
        <v>8</v>
      </c>
      <c r="E15" s="2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42" hidden="false" customHeight="true" outlineLevel="0" collapsed="false">
      <c r="A16" s="24" t="s">
        <v>25</v>
      </c>
      <c r="B16" s="25" t="s">
        <v>26</v>
      </c>
      <c r="C16" s="25"/>
      <c r="D16" s="26" t="s">
        <v>8</v>
      </c>
      <c r="E16" s="23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42" hidden="false" customHeight="true" outlineLevel="0" collapsed="false">
      <c r="A17" s="24" t="s">
        <v>27</v>
      </c>
      <c r="B17" s="25" t="s">
        <v>28</v>
      </c>
      <c r="C17" s="25"/>
      <c r="D17" s="26" t="s">
        <v>8</v>
      </c>
      <c r="E17" s="2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42" hidden="false" customHeight="true" outlineLevel="0" collapsed="false">
      <c r="A18" s="24" t="s">
        <v>29</v>
      </c>
      <c r="B18" s="25" t="s">
        <v>30</v>
      </c>
      <c r="C18" s="25"/>
      <c r="D18" s="26" t="s">
        <v>8</v>
      </c>
      <c r="E18" s="2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42" hidden="false" customHeight="true" outlineLevel="0" collapsed="false">
      <c r="A19" s="24" t="s">
        <v>31</v>
      </c>
      <c r="B19" s="25" t="s">
        <v>32</v>
      </c>
      <c r="C19" s="25"/>
      <c r="D19" s="26" t="s">
        <v>8</v>
      </c>
      <c r="E19" s="2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42" hidden="false" customHeight="true" outlineLevel="0" collapsed="false">
      <c r="A20" s="24" t="s">
        <v>33</v>
      </c>
      <c r="B20" s="25" t="s">
        <v>34</v>
      </c>
      <c r="C20" s="25"/>
      <c r="D20" s="26" t="s">
        <v>8</v>
      </c>
      <c r="E20" s="2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42" hidden="false" customHeight="true" outlineLevel="0" collapsed="false">
      <c r="A21" s="24" t="s">
        <v>35</v>
      </c>
      <c r="B21" s="25" t="s">
        <v>36</v>
      </c>
      <c r="C21" s="25"/>
      <c r="D21" s="26" t="s">
        <v>8</v>
      </c>
      <c r="E21" s="23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42" hidden="false" customHeight="true" outlineLevel="0" collapsed="false">
      <c r="A22" s="27" t="s">
        <v>37</v>
      </c>
      <c r="B22" s="28" t="s">
        <v>38</v>
      </c>
      <c r="C22" s="28"/>
      <c r="D22" s="29" t="s">
        <v>8</v>
      </c>
      <c r="E22" s="23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21.75" hidden="false" customHeight="true" outlineLevel="0" collapsed="false">
      <c r="A23" s="2"/>
      <c r="B23" s="2"/>
      <c r="C23" s="2"/>
      <c r="D23" s="23"/>
      <c r="E23" s="23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21" hidden="false" customHeight="true" outlineLevel="0" collapsed="false">
      <c r="A24" s="14" t="s">
        <v>3</v>
      </c>
      <c r="B24" s="15" t="s">
        <v>39</v>
      </c>
      <c r="C24" s="15"/>
      <c r="D24" s="30"/>
      <c r="E24" s="23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42" hidden="false" customHeight="true" outlineLevel="0" collapsed="false">
      <c r="A25" s="20" t="s">
        <v>40</v>
      </c>
      <c r="B25" s="21" t="s">
        <v>41</v>
      </c>
      <c r="C25" s="21"/>
      <c r="D25" s="31" t="s">
        <v>8</v>
      </c>
      <c r="E25" s="23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42" hidden="false" customHeight="true" outlineLevel="0" collapsed="false">
      <c r="A26" s="24" t="s">
        <v>42</v>
      </c>
      <c r="B26" s="25" t="s">
        <v>43</v>
      </c>
      <c r="C26" s="25"/>
      <c r="D26" s="26" t="s">
        <v>8</v>
      </c>
      <c r="E26" s="23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42" hidden="false" customHeight="true" outlineLevel="0" collapsed="false">
      <c r="A27" s="24" t="s">
        <v>44</v>
      </c>
      <c r="B27" s="25" t="s">
        <v>45</v>
      </c>
      <c r="C27" s="25"/>
      <c r="D27" s="26" t="s">
        <v>8</v>
      </c>
      <c r="E27" s="23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42" hidden="false" customHeight="true" outlineLevel="0" collapsed="false">
      <c r="A28" s="24" t="s">
        <v>46</v>
      </c>
      <c r="B28" s="25" t="s">
        <v>47</v>
      </c>
      <c r="C28" s="25"/>
      <c r="D28" s="26" t="s">
        <v>8</v>
      </c>
      <c r="E28" s="23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42" hidden="false" customHeight="true" outlineLevel="0" collapsed="false">
      <c r="A29" s="24" t="s">
        <v>48</v>
      </c>
      <c r="B29" s="25" t="s">
        <v>49</v>
      </c>
      <c r="C29" s="25"/>
      <c r="D29" s="26" t="s">
        <v>8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42" hidden="false" customHeight="true" outlineLevel="0" collapsed="false">
      <c r="A30" s="24" t="s">
        <v>50</v>
      </c>
      <c r="B30" s="25" t="s">
        <v>51</v>
      </c>
      <c r="C30" s="25"/>
      <c r="D30" s="26" t="s">
        <v>8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42" hidden="false" customHeight="true" outlineLevel="0" collapsed="false">
      <c r="A31" s="24" t="s">
        <v>52</v>
      </c>
      <c r="B31" s="25" t="s">
        <v>53</v>
      </c>
      <c r="C31" s="25"/>
      <c r="D31" s="26" t="s">
        <v>8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42" hidden="false" customHeight="true" outlineLevel="0" collapsed="false">
      <c r="A32" s="24" t="s">
        <v>54</v>
      </c>
      <c r="B32" s="25" t="s">
        <v>55</v>
      </c>
      <c r="C32" s="25"/>
      <c r="D32" s="26" t="s">
        <v>8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42" hidden="false" customHeight="true" outlineLevel="0" collapsed="false">
      <c r="A33" s="24" t="s">
        <v>56</v>
      </c>
      <c r="B33" s="25" t="s">
        <v>57</v>
      </c>
      <c r="C33" s="25"/>
      <c r="D33" s="26" t="s">
        <v>8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42" hidden="false" customHeight="true" outlineLevel="0" collapsed="false">
      <c r="A34" s="24" t="s">
        <v>58</v>
      </c>
      <c r="B34" s="25" t="s">
        <v>59</v>
      </c>
      <c r="C34" s="25"/>
      <c r="D34" s="26" t="s">
        <v>60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42" hidden="false" customHeight="true" outlineLevel="0" collapsed="false">
      <c r="A35" s="24" t="s">
        <v>61</v>
      </c>
      <c r="B35" s="25" t="s">
        <v>62</v>
      </c>
      <c r="C35" s="25"/>
      <c r="D35" s="26" t="s">
        <v>8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42" hidden="false" customHeight="true" outlineLevel="0" collapsed="false">
      <c r="A36" s="24" t="s">
        <v>63</v>
      </c>
      <c r="B36" s="25" t="s">
        <v>64</v>
      </c>
      <c r="C36" s="25"/>
      <c r="D36" s="26" t="s">
        <v>8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42" hidden="false" customHeight="true" outlineLevel="0" collapsed="false">
      <c r="A37" s="24" t="s">
        <v>65</v>
      </c>
      <c r="B37" s="25" t="s">
        <v>66</v>
      </c>
      <c r="C37" s="25"/>
      <c r="D37" s="26" t="s">
        <v>8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42" hidden="false" customHeight="true" outlineLevel="0" collapsed="false">
      <c r="A38" s="24" t="s">
        <v>67</v>
      </c>
      <c r="B38" s="25" t="s">
        <v>68</v>
      </c>
      <c r="C38" s="25"/>
      <c r="D38" s="26" t="s">
        <v>60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42" hidden="false" customHeight="true" outlineLevel="0" collapsed="false">
      <c r="A39" s="24" t="s">
        <v>69</v>
      </c>
      <c r="B39" s="25" t="s">
        <v>70</v>
      </c>
      <c r="C39" s="25"/>
      <c r="D39" s="26" t="s">
        <v>60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42" hidden="false" customHeight="true" outlineLevel="0" collapsed="false">
      <c r="A40" s="24" t="s">
        <v>71</v>
      </c>
      <c r="B40" s="25" t="s">
        <v>72</v>
      </c>
      <c r="C40" s="25"/>
      <c r="D40" s="26" t="s">
        <v>60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42" hidden="false" customHeight="true" outlineLevel="0" collapsed="false">
      <c r="A41" s="27" t="s">
        <v>73</v>
      </c>
      <c r="B41" s="28" t="s">
        <v>74</v>
      </c>
      <c r="C41" s="28"/>
      <c r="D41" s="29" t="s">
        <v>8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9.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2.75" hidden="false" customHeight="true" outlineLevel="0" collapsed="false">
      <c r="A43" s="14" t="s">
        <v>3</v>
      </c>
      <c r="B43" s="15" t="s">
        <v>75</v>
      </c>
      <c r="C43" s="15"/>
      <c r="D43" s="3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42" hidden="false" customHeight="true" outlineLevel="0" collapsed="false">
      <c r="A44" s="20" t="s">
        <v>76</v>
      </c>
      <c r="B44" s="21" t="s">
        <v>77</v>
      </c>
      <c r="C44" s="21"/>
      <c r="D44" s="33" t="s">
        <v>8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42" hidden="false" customHeight="true" outlineLevel="0" collapsed="false">
      <c r="A45" s="24" t="s">
        <v>78</v>
      </c>
      <c r="B45" s="25" t="s">
        <v>79</v>
      </c>
      <c r="C45" s="25"/>
      <c r="D45" s="24" t="s">
        <v>8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42" hidden="false" customHeight="true" outlineLevel="0" collapsed="false">
      <c r="A46" s="24" t="s">
        <v>80</v>
      </c>
      <c r="B46" s="25" t="s">
        <v>81</v>
      </c>
      <c r="C46" s="25"/>
      <c r="D46" s="24" t="s">
        <v>8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42" hidden="false" customHeight="true" outlineLevel="0" collapsed="false">
      <c r="A47" s="24" t="s">
        <v>82</v>
      </c>
      <c r="B47" s="25" t="s">
        <v>83</v>
      </c>
      <c r="C47" s="25"/>
      <c r="D47" s="24" t="s">
        <v>8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42" hidden="false" customHeight="true" outlineLevel="0" collapsed="false">
      <c r="A48" s="24" t="s">
        <v>84</v>
      </c>
      <c r="B48" s="25" t="s">
        <v>85</v>
      </c>
      <c r="C48" s="25"/>
      <c r="D48" s="24" t="s">
        <v>8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42" hidden="false" customHeight="true" outlineLevel="0" collapsed="false">
      <c r="A49" s="24" t="s">
        <v>86</v>
      </c>
      <c r="B49" s="25" t="s">
        <v>87</v>
      </c>
      <c r="C49" s="25"/>
      <c r="D49" s="24" t="s">
        <v>8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42" hidden="false" customHeight="true" outlineLevel="0" collapsed="false">
      <c r="A50" s="24" t="s">
        <v>88</v>
      </c>
      <c r="B50" s="25" t="s">
        <v>89</v>
      </c>
      <c r="C50" s="25"/>
      <c r="D50" s="24" t="s">
        <v>8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42" hidden="false" customHeight="true" outlineLevel="0" collapsed="false">
      <c r="A51" s="24" t="s">
        <v>90</v>
      </c>
      <c r="B51" s="25" t="s">
        <v>91</v>
      </c>
      <c r="C51" s="25"/>
      <c r="D51" s="24" t="s">
        <v>8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42" hidden="false" customHeight="true" outlineLevel="0" collapsed="false">
      <c r="A52" s="24" t="s">
        <v>92</v>
      </c>
      <c r="B52" s="25" t="s">
        <v>93</v>
      </c>
      <c r="C52" s="25"/>
      <c r="D52" s="24" t="s">
        <v>8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42" hidden="false" customHeight="true" outlineLevel="0" collapsed="false">
      <c r="A53" s="24" t="s">
        <v>94</v>
      </c>
      <c r="B53" s="25" t="s">
        <v>95</v>
      </c>
      <c r="C53" s="25"/>
      <c r="D53" s="24" t="s">
        <v>8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42" hidden="false" customHeight="true" outlineLevel="0" collapsed="false">
      <c r="A54" s="24" t="s">
        <v>96</v>
      </c>
      <c r="B54" s="25" t="s">
        <v>97</v>
      </c>
      <c r="C54" s="25"/>
      <c r="D54" s="24" t="s">
        <v>8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42" hidden="false" customHeight="true" outlineLevel="0" collapsed="false">
      <c r="A55" s="24" t="s">
        <v>98</v>
      </c>
      <c r="B55" s="25" t="s">
        <v>99</v>
      </c>
      <c r="C55" s="25"/>
      <c r="D55" s="24" t="s">
        <v>60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42" hidden="false" customHeight="true" outlineLevel="0" collapsed="false">
      <c r="A56" s="24" t="s">
        <v>100</v>
      </c>
      <c r="B56" s="25" t="s">
        <v>101</v>
      </c>
      <c r="C56" s="25"/>
      <c r="D56" s="24" t="s">
        <v>8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42" hidden="false" customHeight="true" outlineLevel="0" collapsed="false">
      <c r="A57" s="24" t="s">
        <v>102</v>
      </c>
      <c r="B57" s="25" t="s">
        <v>103</v>
      </c>
      <c r="C57" s="25"/>
      <c r="D57" s="24" t="s">
        <v>8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42" hidden="false" customHeight="true" outlineLevel="0" collapsed="false">
      <c r="A58" s="27" t="s">
        <v>104</v>
      </c>
      <c r="B58" s="28" t="s">
        <v>105</v>
      </c>
      <c r="C58" s="28"/>
      <c r="D58" s="27" t="s">
        <v>8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9.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8.75" hidden="false" customHeight="true" outlineLevel="0" collapsed="false">
      <c r="A60" s="14" t="s">
        <v>3</v>
      </c>
      <c r="B60" s="15" t="s">
        <v>106</v>
      </c>
      <c r="C60" s="15"/>
      <c r="D60" s="3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42" hidden="false" customHeight="true" outlineLevel="0" collapsed="false">
      <c r="A61" s="20" t="s">
        <v>107</v>
      </c>
      <c r="B61" s="21" t="s">
        <v>108</v>
      </c>
      <c r="C61" s="21"/>
      <c r="D61" s="24" t="s">
        <v>8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42" hidden="false" customHeight="true" outlineLevel="0" collapsed="false">
      <c r="A62" s="24" t="s">
        <v>109</v>
      </c>
      <c r="B62" s="25" t="s">
        <v>110</v>
      </c>
      <c r="C62" s="25"/>
      <c r="D62" s="24" t="s">
        <v>8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42" hidden="false" customHeight="true" outlineLevel="0" collapsed="false">
      <c r="A63" s="27" t="s">
        <v>111</v>
      </c>
      <c r="B63" s="28" t="s">
        <v>112</v>
      </c>
      <c r="C63" s="28"/>
      <c r="D63" s="27" t="s">
        <v>8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9.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7.25" hidden="false" customHeight="true" outlineLevel="0" collapsed="false">
      <c r="A65" s="14" t="s">
        <v>3</v>
      </c>
      <c r="B65" s="15" t="s">
        <v>113</v>
      </c>
      <c r="C65" s="15"/>
      <c r="D65" s="3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42" hidden="false" customHeight="true" outlineLevel="0" collapsed="false">
      <c r="A66" s="20" t="s">
        <v>114</v>
      </c>
      <c r="B66" s="21" t="s">
        <v>115</v>
      </c>
      <c r="C66" s="21"/>
      <c r="D66" s="20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42" hidden="false" customHeight="true" outlineLevel="0" collapsed="false">
      <c r="A67" s="24" t="s">
        <v>116</v>
      </c>
      <c r="B67" s="25" t="s">
        <v>117</v>
      </c>
      <c r="C67" s="25"/>
      <c r="D67" s="24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42" hidden="false" customHeight="true" outlineLevel="0" collapsed="false">
      <c r="A68" s="24" t="s">
        <v>118</v>
      </c>
      <c r="B68" s="25" t="s">
        <v>119</v>
      </c>
      <c r="C68" s="25"/>
      <c r="D68" s="24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42" hidden="false" customHeight="true" outlineLevel="0" collapsed="false">
      <c r="A69" s="24" t="s">
        <v>120</v>
      </c>
      <c r="B69" s="25" t="s">
        <v>121</v>
      </c>
      <c r="C69" s="25"/>
      <c r="D69" s="24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42" hidden="false" customHeight="true" outlineLevel="0" collapsed="false">
      <c r="A70" s="27" t="s">
        <v>122</v>
      </c>
      <c r="B70" s="28" t="s">
        <v>123</v>
      </c>
      <c r="C70" s="28"/>
      <c r="D70" s="27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9.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2.75" hidden="false" customHeight="true" outlineLevel="0" collapsed="false">
      <c r="A72" s="14" t="s">
        <v>3</v>
      </c>
      <c r="B72" s="15" t="s">
        <v>124</v>
      </c>
      <c r="C72" s="15"/>
      <c r="D72" s="3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42" hidden="false" customHeight="true" outlineLevel="0" collapsed="false">
      <c r="A73" s="20" t="s">
        <v>125</v>
      </c>
      <c r="B73" s="21" t="s">
        <v>126</v>
      </c>
      <c r="C73" s="21"/>
      <c r="D73" s="33" t="s">
        <v>8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42" hidden="false" customHeight="true" outlineLevel="0" collapsed="false">
      <c r="A74" s="24" t="s">
        <v>127</v>
      </c>
      <c r="B74" s="25" t="s">
        <v>128</v>
      </c>
      <c r="C74" s="25"/>
      <c r="D74" s="34" t="s">
        <v>8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42" hidden="false" customHeight="true" outlineLevel="0" collapsed="false">
      <c r="A75" s="24" t="s">
        <v>129</v>
      </c>
      <c r="B75" s="25" t="s">
        <v>130</v>
      </c>
      <c r="C75" s="25"/>
      <c r="D75" s="24" t="s">
        <v>131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42" hidden="false" customHeight="true" outlineLevel="0" collapsed="false">
      <c r="A76" s="24" t="s">
        <v>132</v>
      </c>
      <c r="B76" s="25" t="s">
        <v>133</v>
      </c>
      <c r="C76" s="25"/>
      <c r="D76" s="34" t="s">
        <v>131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42" hidden="false" customHeight="true" outlineLevel="0" collapsed="false">
      <c r="A77" s="27" t="s">
        <v>134</v>
      </c>
      <c r="B77" s="28" t="s">
        <v>135</v>
      </c>
      <c r="C77" s="28"/>
      <c r="D77" s="27" t="s">
        <v>8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2.75" hidden="false" customHeight="true" outlineLevel="0" collapsed="false">
      <c r="A78" s="2"/>
      <c r="B78" s="35"/>
      <c r="C78" s="35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2.75" hidden="false" customHeight="true" outlineLevel="0" collapsed="false">
      <c r="A79" s="2"/>
      <c r="B79" s="35"/>
      <c r="C79" s="35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2.7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2.7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2.7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2.7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2.7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2.7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2.7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2.7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2.7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2.7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2.7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2.7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2.7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2.7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2.7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2.7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2.7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2.7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2.7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2.7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2.7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2.7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2.7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2.7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2.7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2.7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2.7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2.7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2.7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2.7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2.7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2.7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2.7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2.7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2.7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2.7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2.7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2.7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2.7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2.7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2.7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2.7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2.7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2.7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2.7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2.7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2.7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2.7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2.7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2.7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2.7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2.7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2.7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2.7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2.7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2.7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2.7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2.7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2.7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2.7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2.7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2.7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2.7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2.7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2.7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2.7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2.7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2.7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2.7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2.7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2.7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2.7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2.7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2.7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2.7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2.7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2.7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2.7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2.7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2.7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2.7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2.7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2.7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2.7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2.7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2.7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2.7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2.7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2.7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2.7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2.7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2.7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2.7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2.7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2.7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2.7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2.7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2.7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2.7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2.7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2.7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2.7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2.7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2.7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2.7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2.7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2.7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2.7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2.7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2.7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2.7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2.7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2.7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2.7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2.7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2.7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2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2.7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2.7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2.7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2.7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2.7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2.7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2.7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2.7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2.7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2.7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2.7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2.7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2.7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2.7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2.7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2.7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2.7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2.7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2.7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2.7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2.7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2.7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2.7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2.7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2.7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2.7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2.7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2.7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2.7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2.7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2.7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2.7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2.7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2.7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2.7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2.7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2.7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2.7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2.7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2.7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2.7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2.7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2.7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2.7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2.7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2.7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2.7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2.7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2.7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2.7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2.7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2.7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2.7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2.7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2.7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2.7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2.7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2.7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2.7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2.7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2.7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2.7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2.7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2.7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2.7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2.7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2.7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2.7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2.7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2.7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2.7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2.7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2.7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2.7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2.7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2.7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2.7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2.7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2.7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2.7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2.7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2.75" hidden="false" customHeight="true" outlineLevel="0" collapsed="false">
      <c r="Y278" s="1"/>
      <c r="Z278" s="1"/>
    </row>
    <row r="279" customFormat="false" ht="12.75" hidden="false" customHeight="true" outlineLevel="0" collapsed="false">
      <c r="Y279" s="1"/>
      <c r="Z279" s="1"/>
    </row>
    <row r="280" customFormat="false" ht="12.75" hidden="false" customHeight="true" outlineLevel="0" collapsed="false">
      <c r="Y280" s="1"/>
      <c r="Z280" s="1"/>
    </row>
    <row r="281" customFormat="false" ht="12.75" hidden="false" customHeight="true" outlineLevel="0" collapsed="false">
      <c r="Y281" s="1"/>
      <c r="Z281" s="1"/>
    </row>
    <row r="282" customFormat="false" ht="12.75" hidden="false" customHeight="true" outlineLevel="0" collapsed="false">
      <c r="Y282" s="1"/>
      <c r="Z282" s="1"/>
    </row>
    <row r="283" customFormat="false" ht="12.75" hidden="false" customHeight="true" outlineLevel="0" collapsed="false">
      <c r="Y283" s="1"/>
      <c r="Z283" s="1"/>
    </row>
    <row r="284" customFormat="false" ht="12.75" hidden="false" customHeight="true" outlineLevel="0" collapsed="false">
      <c r="Y284" s="1"/>
      <c r="Z284" s="1"/>
    </row>
    <row r="285" customFormat="false" ht="12.75" hidden="false" customHeight="true" outlineLevel="0" collapsed="false">
      <c r="Y285" s="1"/>
      <c r="Z285" s="1"/>
    </row>
    <row r="286" customFormat="false" ht="12.75" hidden="false" customHeight="true" outlineLevel="0" collapsed="false">
      <c r="Y286" s="1"/>
      <c r="Z286" s="1"/>
    </row>
    <row r="287" customFormat="false" ht="12.75" hidden="false" customHeight="true" outlineLevel="0" collapsed="false">
      <c r="Y287" s="1"/>
      <c r="Z287" s="1"/>
    </row>
    <row r="288" customFormat="false" ht="12.75" hidden="false" customHeight="true" outlineLevel="0" collapsed="false">
      <c r="Y288" s="1"/>
      <c r="Z288" s="1"/>
    </row>
    <row r="289" customFormat="false" ht="12.75" hidden="false" customHeight="true" outlineLevel="0" collapsed="false">
      <c r="Y289" s="1"/>
      <c r="Z289" s="1"/>
    </row>
    <row r="290" customFormat="false" ht="12.75" hidden="false" customHeight="true" outlineLevel="0" collapsed="false">
      <c r="Y290" s="1"/>
      <c r="Z290" s="1"/>
    </row>
    <row r="291" customFormat="false" ht="12.75" hidden="false" customHeight="true" outlineLevel="0" collapsed="false">
      <c r="Y291" s="1"/>
      <c r="Z291" s="1"/>
    </row>
    <row r="292" customFormat="false" ht="12.75" hidden="false" customHeight="true" outlineLevel="0" collapsed="false">
      <c r="Y292" s="1"/>
      <c r="Z292" s="1"/>
    </row>
    <row r="293" customFormat="false" ht="12.75" hidden="false" customHeight="true" outlineLevel="0" collapsed="false">
      <c r="Y293" s="1"/>
      <c r="Z293" s="1"/>
    </row>
    <row r="294" customFormat="false" ht="12.75" hidden="false" customHeight="true" outlineLevel="0" collapsed="false">
      <c r="Y294" s="1"/>
      <c r="Z294" s="1"/>
    </row>
    <row r="295" customFormat="false" ht="12.75" hidden="false" customHeight="true" outlineLevel="0" collapsed="false">
      <c r="Y295" s="1"/>
      <c r="Z295" s="1"/>
    </row>
    <row r="296" customFormat="false" ht="12.75" hidden="false" customHeight="true" outlineLevel="0" collapsed="false">
      <c r="Y296" s="1"/>
      <c r="Z296" s="1"/>
    </row>
    <row r="297" customFormat="false" ht="12.75" hidden="false" customHeight="true" outlineLevel="0" collapsed="false">
      <c r="Y297" s="1"/>
      <c r="Z297" s="1"/>
    </row>
    <row r="298" customFormat="false" ht="12.75" hidden="false" customHeight="true" outlineLevel="0" collapsed="false">
      <c r="Y298" s="1"/>
      <c r="Z298" s="1"/>
    </row>
    <row r="299" customFormat="false" ht="12.75" hidden="false" customHeight="true" outlineLevel="0" collapsed="false">
      <c r="Y299" s="1"/>
      <c r="Z299" s="1"/>
    </row>
    <row r="300" customFormat="false" ht="12.75" hidden="false" customHeight="true" outlineLevel="0" collapsed="false">
      <c r="Y300" s="1"/>
      <c r="Z300" s="1"/>
    </row>
    <row r="301" customFormat="false" ht="12.75" hidden="false" customHeight="true" outlineLevel="0" collapsed="false">
      <c r="Y301" s="1"/>
      <c r="Z301" s="1"/>
    </row>
    <row r="302" customFormat="false" ht="12.75" hidden="false" customHeight="true" outlineLevel="0" collapsed="false">
      <c r="Y302" s="1"/>
      <c r="Z302" s="1"/>
    </row>
    <row r="303" customFormat="false" ht="12.75" hidden="false" customHeight="true" outlineLevel="0" collapsed="false">
      <c r="Y303" s="1"/>
      <c r="Z303" s="1"/>
    </row>
    <row r="304" customFormat="false" ht="12.75" hidden="false" customHeight="true" outlineLevel="0" collapsed="false">
      <c r="Y304" s="1"/>
      <c r="Z304" s="1"/>
    </row>
    <row r="305" customFormat="false" ht="12.75" hidden="false" customHeight="true" outlineLevel="0" collapsed="false">
      <c r="Y305" s="1"/>
      <c r="Z305" s="1"/>
    </row>
    <row r="306" customFormat="false" ht="12.75" hidden="false" customHeight="true" outlineLevel="0" collapsed="false">
      <c r="Y306" s="1"/>
      <c r="Z306" s="1"/>
    </row>
    <row r="307" customFormat="false" ht="12.75" hidden="false" customHeight="true" outlineLevel="0" collapsed="false">
      <c r="Y307" s="1"/>
      <c r="Z307" s="1"/>
    </row>
    <row r="308" customFormat="false" ht="12.75" hidden="false" customHeight="true" outlineLevel="0" collapsed="false">
      <c r="Y308" s="1"/>
      <c r="Z308" s="1"/>
    </row>
    <row r="309" customFormat="false" ht="12.75" hidden="false" customHeight="true" outlineLevel="0" collapsed="false">
      <c r="Y309" s="1"/>
      <c r="Z309" s="1"/>
    </row>
    <row r="310" customFormat="false" ht="12.75" hidden="false" customHeight="true" outlineLevel="0" collapsed="false">
      <c r="Y310" s="1"/>
      <c r="Z310" s="1"/>
    </row>
    <row r="311" customFormat="false" ht="12.75" hidden="false" customHeight="true" outlineLevel="0" collapsed="false">
      <c r="Y311" s="1"/>
      <c r="Z311" s="1"/>
    </row>
    <row r="312" customFormat="false" ht="12.75" hidden="false" customHeight="true" outlineLevel="0" collapsed="false">
      <c r="Y312" s="1"/>
      <c r="Z312" s="1"/>
    </row>
    <row r="313" customFormat="false" ht="12.75" hidden="false" customHeight="true" outlineLevel="0" collapsed="false">
      <c r="Y313" s="1"/>
      <c r="Z313" s="1"/>
    </row>
    <row r="314" customFormat="false" ht="12.75" hidden="false" customHeight="true" outlineLevel="0" collapsed="false">
      <c r="Y314" s="1"/>
      <c r="Z314" s="1"/>
    </row>
    <row r="315" customFormat="false" ht="12.75" hidden="false" customHeight="true" outlineLevel="0" collapsed="false">
      <c r="Y315" s="1"/>
      <c r="Z315" s="1"/>
    </row>
    <row r="316" customFormat="false" ht="12.75" hidden="false" customHeight="true" outlineLevel="0" collapsed="false">
      <c r="Y316" s="1"/>
      <c r="Z316" s="1"/>
    </row>
    <row r="317" customFormat="false" ht="12.75" hidden="false" customHeight="true" outlineLevel="0" collapsed="false">
      <c r="Y317" s="1"/>
      <c r="Z317" s="1"/>
    </row>
    <row r="318" customFormat="false" ht="12.75" hidden="false" customHeight="true" outlineLevel="0" collapsed="false">
      <c r="Y318" s="1"/>
      <c r="Z318" s="1"/>
    </row>
    <row r="319" customFormat="false" ht="12.75" hidden="false" customHeight="true" outlineLevel="0" collapsed="false">
      <c r="Y319" s="1"/>
      <c r="Z319" s="1"/>
    </row>
    <row r="320" customFormat="false" ht="12.75" hidden="false" customHeight="true" outlineLevel="0" collapsed="false">
      <c r="Y320" s="1"/>
      <c r="Z320" s="1"/>
    </row>
    <row r="321" customFormat="false" ht="12.75" hidden="false" customHeight="true" outlineLevel="0" collapsed="false">
      <c r="Y321" s="1"/>
      <c r="Z321" s="1"/>
    </row>
    <row r="322" customFormat="false" ht="12.75" hidden="false" customHeight="true" outlineLevel="0" collapsed="false">
      <c r="Y322" s="1"/>
      <c r="Z322" s="1"/>
    </row>
    <row r="323" customFormat="false" ht="12.75" hidden="false" customHeight="true" outlineLevel="0" collapsed="false">
      <c r="Y323" s="1"/>
      <c r="Z323" s="1"/>
    </row>
    <row r="324" customFormat="false" ht="12.75" hidden="false" customHeight="true" outlineLevel="0" collapsed="false">
      <c r="Y324" s="1"/>
      <c r="Z324" s="1"/>
    </row>
    <row r="325" customFormat="false" ht="12.75" hidden="false" customHeight="true" outlineLevel="0" collapsed="false">
      <c r="Y325" s="1"/>
      <c r="Z325" s="1"/>
    </row>
    <row r="326" customFormat="false" ht="12.75" hidden="false" customHeight="true" outlineLevel="0" collapsed="false">
      <c r="Y326" s="1"/>
      <c r="Z326" s="1"/>
    </row>
    <row r="327" customFormat="false" ht="12.75" hidden="false" customHeight="true" outlineLevel="0" collapsed="false">
      <c r="Y327" s="1"/>
      <c r="Z327" s="1"/>
    </row>
    <row r="328" customFormat="false" ht="12.75" hidden="false" customHeight="true" outlineLevel="0" collapsed="false">
      <c r="Y328" s="1"/>
      <c r="Z328" s="1"/>
    </row>
    <row r="329" customFormat="false" ht="12.75" hidden="false" customHeight="true" outlineLevel="0" collapsed="false">
      <c r="Y329" s="1"/>
      <c r="Z329" s="1"/>
    </row>
    <row r="330" customFormat="false" ht="12.75" hidden="false" customHeight="true" outlineLevel="0" collapsed="false">
      <c r="Y330" s="1"/>
      <c r="Z330" s="1"/>
    </row>
    <row r="331" customFormat="false" ht="12.75" hidden="false" customHeight="true" outlineLevel="0" collapsed="false">
      <c r="Y331" s="1"/>
      <c r="Z331" s="1"/>
    </row>
    <row r="332" customFormat="false" ht="12.75" hidden="false" customHeight="true" outlineLevel="0" collapsed="false">
      <c r="Y332" s="1"/>
      <c r="Z332" s="1"/>
    </row>
    <row r="333" customFormat="false" ht="12.75" hidden="false" customHeight="true" outlineLevel="0" collapsed="false">
      <c r="Y333" s="1"/>
      <c r="Z333" s="1"/>
    </row>
    <row r="334" customFormat="false" ht="12.75" hidden="false" customHeight="true" outlineLevel="0" collapsed="false">
      <c r="Y334" s="1"/>
      <c r="Z334" s="1"/>
    </row>
    <row r="335" customFormat="false" ht="12.75" hidden="false" customHeight="true" outlineLevel="0" collapsed="false">
      <c r="Y335" s="1"/>
      <c r="Z335" s="1"/>
    </row>
    <row r="336" customFormat="false" ht="12.75" hidden="false" customHeight="true" outlineLevel="0" collapsed="false">
      <c r="Y336" s="1"/>
      <c r="Z336" s="1"/>
    </row>
    <row r="337" customFormat="false" ht="12.75" hidden="false" customHeight="true" outlineLevel="0" collapsed="false">
      <c r="Y337" s="1"/>
      <c r="Z337" s="1"/>
    </row>
    <row r="338" customFormat="false" ht="12.75" hidden="false" customHeight="true" outlineLevel="0" collapsed="false">
      <c r="Y338" s="1"/>
      <c r="Z338" s="1"/>
    </row>
    <row r="339" customFormat="false" ht="12.75" hidden="false" customHeight="true" outlineLevel="0" collapsed="false">
      <c r="Y339" s="1"/>
      <c r="Z339" s="1"/>
    </row>
    <row r="340" customFormat="false" ht="12.75" hidden="false" customHeight="true" outlineLevel="0" collapsed="false">
      <c r="Y340" s="1"/>
      <c r="Z340" s="1"/>
    </row>
    <row r="341" customFormat="false" ht="12.75" hidden="false" customHeight="true" outlineLevel="0" collapsed="false">
      <c r="Y341" s="1"/>
      <c r="Z341" s="1"/>
    </row>
    <row r="342" customFormat="false" ht="12.75" hidden="false" customHeight="true" outlineLevel="0" collapsed="false">
      <c r="Y342" s="1"/>
      <c r="Z342" s="1"/>
    </row>
    <row r="343" customFormat="false" ht="12.75" hidden="false" customHeight="true" outlineLevel="0" collapsed="false">
      <c r="Y343" s="1"/>
      <c r="Z343" s="1"/>
    </row>
    <row r="344" customFormat="false" ht="12.75" hidden="false" customHeight="true" outlineLevel="0" collapsed="false">
      <c r="Y344" s="1"/>
      <c r="Z344" s="1"/>
    </row>
    <row r="345" customFormat="false" ht="12.75" hidden="false" customHeight="true" outlineLevel="0" collapsed="false">
      <c r="Y345" s="1"/>
      <c r="Z345" s="1"/>
    </row>
    <row r="346" customFormat="false" ht="12.75" hidden="false" customHeight="true" outlineLevel="0" collapsed="false">
      <c r="Y346" s="1"/>
      <c r="Z346" s="1"/>
    </row>
    <row r="347" customFormat="false" ht="12.75" hidden="false" customHeight="true" outlineLevel="0" collapsed="false">
      <c r="Y347" s="1"/>
      <c r="Z347" s="1"/>
    </row>
    <row r="348" customFormat="false" ht="12.75" hidden="false" customHeight="true" outlineLevel="0" collapsed="false">
      <c r="Y348" s="1"/>
      <c r="Z348" s="1"/>
    </row>
    <row r="349" customFormat="false" ht="12.75" hidden="false" customHeight="true" outlineLevel="0" collapsed="false">
      <c r="Y349" s="1"/>
      <c r="Z349" s="1"/>
    </row>
    <row r="350" customFormat="false" ht="12.75" hidden="false" customHeight="true" outlineLevel="0" collapsed="false">
      <c r="Y350" s="1"/>
      <c r="Z350" s="1"/>
    </row>
    <row r="351" customFormat="false" ht="12.75" hidden="false" customHeight="true" outlineLevel="0" collapsed="false">
      <c r="Y351" s="1"/>
      <c r="Z351" s="1"/>
    </row>
    <row r="352" customFormat="false" ht="12.75" hidden="false" customHeight="true" outlineLevel="0" collapsed="false">
      <c r="Y352" s="1"/>
      <c r="Z352" s="1"/>
    </row>
    <row r="353" customFormat="false" ht="12.75" hidden="false" customHeight="true" outlineLevel="0" collapsed="false">
      <c r="Y353" s="1"/>
      <c r="Z353" s="1"/>
    </row>
    <row r="354" customFormat="false" ht="12.75" hidden="false" customHeight="true" outlineLevel="0" collapsed="false">
      <c r="Y354" s="1"/>
      <c r="Z354" s="1"/>
    </row>
    <row r="355" customFormat="false" ht="12.75" hidden="false" customHeight="true" outlineLevel="0" collapsed="false">
      <c r="Y355" s="1"/>
      <c r="Z355" s="1"/>
    </row>
    <row r="356" customFormat="false" ht="12.75" hidden="false" customHeight="true" outlineLevel="0" collapsed="false">
      <c r="Y356" s="1"/>
      <c r="Z356" s="1"/>
    </row>
    <row r="357" customFormat="false" ht="12.75" hidden="false" customHeight="true" outlineLevel="0" collapsed="false">
      <c r="Y357" s="1"/>
      <c r="Z357" s="1"/>
    </row>
    <row r="358" customFormat="false" ht="12.75" hidden="false" customHeight="true" outlineLevel="0" collapsed="false">
      <c r="Y358" s="1"/>
      <c r="Z358" s="1"/>
    </row>
    <row r="359" customFormat="false" ht="12.75" hidden="false" customHeight="true" outlineLevel="0" collapsed="false">
      <c r="Y359" s="1"/>
      <c r="Z359" s="1"/>
    </row>
    <row r="360" customFormat="false" ht="12.75" hidden="false" customHeight="true" outlineLevel="0" collapsed="false">
      <c r="Y360" s="1"/>
      <c r="Z360" s="1"/>
    </row>
    <row r="361" customFormat="false" ht="12.75" hidden="false" customHeight="true" outlineLevel="0" collapsed="false">
      <c r="Y361" s="1"/>
      <c r="Z361" s="1"/>
    </row>
    <row r="362" customFormat="false" ht="12.75" hidden="false" customHeight="true" outlineLevel="0" collapsed="false">
      <c r="Y362" s="1"/>
      <c r="Z362" s="1"/>
    </row>
    <row r="363" customFormat="false" ht="12.75" hidden="false" customHeight="true" outlineLevel="0" collapsed="false">
      <c r="Y363" s="1"/>
      <c r="Z363" s="1"/>
    </row>
    <row r="364" customFormat="false" ht="12.75" hidden="false" customHeight="true" outlineLevel="0" collapsed="false">
      <c r="Y364" s="1"/>
      <c r="Z364" s="1"/>
    </row>
    <row r="365" customFormat="false" ht="12.75" hidden="false" customHeight="true" outlineLevel="0" collapsed="false">
      <c r="Y365" s="1"/>
      <c r="Z365" s="1"/>
    </row>
    <row r="366" customFormat="false" ht="12.75" hidden="false" customHeight="true" outlineLevel="0" collapsed="false">
      <c r="Y366" s="1"/>
      <c r="Z366" s="1"/>
    </row>
    <row r="367" customFormat="false" ht="12.75" hidden="false" customHeight="true" outlineLevel="0" collapsed="false">
      <c r="Y367" s="1"/>
      <c r="Z367" s="1"/>
    </row>
    <row r="368" customFormat="false" ht="12.75" hidden="false" customHeight="true" outlineLevel="0" collapsed="false">
      <c r="Y368" s="1"/>
      <c r="Z368" s="1"/>
    </row>
    <row r="369" customFormat="false" ht="12.75" hidden="false" customHeight="true" outlineLevel="0" collapsed="false">
      <c r="Y369" s="1"/>
      <c r="Z369" s="1"/>
    </row>
    <row r="370" customFormat="false" ht="12.75" hidden="false" customHeight="true" outlineLevel="0" collapsed="false">
      <c r="Y370" s="1"/>
      <c r="Z370" s="1"/>
    </row>
    <row r="371" customFormat="false" ht="12.75" hidden="false" customHeight="true" outlineLevel="0" collapsed="false">
      <c r="Y371" s="1"/>
      <c r="Z371" s="1"/>
    </row>
    <row r="372" customFormat="false" ht="12.75" hidden="false" customHeight="true" outlineLevel="0" collapsed="false">
      <c r="Y372" s="1"/>
      <c r="Z372" s="1"/>
    </row>
    <row r="373" customFormat="false" ht="12.75" hidden="false" customHeight="true" outlineLevel="0" collapsed="false">
      <c r="Y373" s="1"/>
      <c r="Z373" s="1"/>
    </row>
    <row r="374" customFormat="false" ht="12.75" hidden="false" customHeight="true" outlineLevel="0" collapsed="false">
      <c r="Y374" s="1"/>
      <c r="Z374" s="1"/>
    </row>
    <row r="375" customFormat="false" ht="12.75" hidden="false" customHeight="true" outlineLevel="0" collapsed="false">
      <c r="Y375" s="1"/>
      <c r="Z375" s="1"/>
    </row>
    <row r="376" customFormat="false" ht="12.75" hidden="false" customHeight="true" outlineLevel="0" collapsed="false">
      <c r="Y376" s="1"/>
      <c r="Z376" s="1"/>
    </row>
    <row r="377" customFormat="false" ht="12.75" hidden="false" customHeight="true" outlineLevel="0" collapsed="false">
      <c r="Y377" s="1"/>
      <c r="Z377" s="1"/>
    </row>
    <row r="378" customFormat="false" ht="12.75" hidden="false" customHeight="true" outlineLevel="0" collapsed="false">
      <c r="Y378" s="1"/>
      <c r="Z378" s="1"/>
    </row>
    <row r="379" customFormat="false" ht="12.75" hidden="false" customHeight="true" outlineLevel="0" collapsed="false">
      <c r="Y379" s="1"/>
      <c r="Z379" s="1"/>
    </row>
    <row r="380" customFormat="false" ht="12.75" hidden="false" customHeight="true" outlineLevel="0" collapsed="false">
      <c r="Y380" s="1"/>
      <c r="Z380" s="1"/>
    </row>
    <row r="381" customFormat="false" ht="12.75" hidden="false" customHeight="true" outlineLevel="0" collapsed="false">
      <c r="Y381" s="1"/>
      <c r="Z381" s="1"/>
    </row>
    <row r="382" customFormat="false" ht="12.75" hidden="false" customHeight="true" outlineLevel="0" collapsed="false">
      <c r="Y382" s="1"/>
      <c r="Z382" s="1"/>
    </row>
    <row r="383" customFormat="false" ht="12.75" hidden="false" customHeight="true" outlineLevel="0" collapsed="false">
      <c r="Y383" s="1"/>
      <c r="Z383" s="1"/>
    </row>
    <row r="384" customFormat="false" ht="12.75" hidden="false" customHeight="true" outlineLevel="0" collapsed="false">
      <c r="Y384" s="1"/>
      <c r="Z384" s="1"/>
    </row>
    <row r="385" customFormat="false" ht="12.75" hidden="false" customHeight="true" outlineLevel="0" collapsed="false">
      <c r="Y385" s="1"/>
      <c r="Z385" s="1"/>
    </row>
    <row r="386" customFormat="false" ht="12.75" hidden="false" customHeight="true" outlineLevel="0" collapsed="false">
      <c r="Y386" s="1"/>
      <c r="Z386" s="1"/>
    </row>
    <row r="387" customFormat="false" ht="12.75" hidden="false" customHeight="true" outlineLevel="0" collapsed="false">
      <c r="Y387" s="1"/>
      <c r="Z387" s="1"/>
    </row>
    <row r="388" customFormat="false" ht="12.75" hidden="false" customHeight="true" outlineLevel="0" collapsed="false">
      <c r="Y388" s="1"/>
      <c r="Z388" s="1"/>
    </row>
    <row r="389" customFormat="false" ht="12.75" hidden="false" customHeight="true" outlineLevel="0" collapsed="false">
      <c r="Y389" s="1"/>
      <c r="Z389" s="1"/>
    </row>
    <row r="390" customFormat="false" ht="12.75" hidden="false" customHeight="true" outlineLevel="0" collapsed="false">
      <c r="Y390" s="1"/>
      <c r="Z390" s="1"/>
    </row>
    <row r="391" customFormat="false" ht="12.75" hidden="false" customHeight="true" outlineLevel="0" collapsed="false">
      <c r="Y391" s="1"/>
      <c r="Z391" s="1"/>
    </row>
    <row r="392" customFormat="false" ht="12.75" hidden="false" customHeight="true" outlineLevel="0" collapsed="false">
      <c r="Y392" s="1"/>
      <c r="Z392" s="1"/>
    </row>
    <row r="393" customFormat="false" ht="12.75" hidden="false" customHeight="true" outlineLevel="0" collapsed="false">
      <c r="Y393" s="1"/>
      <c r="Z393" s="1"/>
    </row>
    <row r="394" customFormat="false" ht="12.75" hidden="false" customHeight="true" outlineLevel="0" collapsed="false">
      <c r="Y394" s="1"/>
      <c r="Z394" s="1"/>
    </row>
    <row r="395" customFormat="false" ht="12.75" hidden="false" customHeight="true" outlineLevel="0" collapsed="false">
      <c r="Y395" s="1"/>
      <c r="Z395" s="1"/>
    </row>
    <row r="396" customFormat="false" ht="12.75" hidden="false" customHeight="true" outlineLevel="0" collapsed="false">
      <c r="Y396" s="1"/>
      <c r="Z396" s="1"/>
    </row>
    <row r="397" customFormat="false" ht="12.75" hidden="false" customHeight="true" outlineLevel="0" collapsed="false">
      <c r="Y397" s="1"/>
      <c r="Z397" s="1"/>
    </row>
    <row r="398" customFormat="false" ht="12.75" hidden="false" customHeight="true" outlineLevel="0" collapsed="false">
      <c r="Y398" s="1"/>
      <c r="Z398" s="1"/>
    </row>
    <row r="399" customFormat="false" ht="12.75" hidden="false" customHeight="true" outlineLevel="0" collapsed="false">
      <c r="Y399" s="1"/>
      <c r="Z399" s="1"/>
    </row>
    <row r="400" customFormat="false" ht="12.75" hidden="false" customHeight="true" outlineLevel="0" collapsed="false">
      <c r="Y400" s="1"/>
      <c r="Z400" s="1"/>
    </row>
    <row r="401" customFormat="false" ht="12.75" hidden="false" customHeight="true" outlineLevel="0" collapsed="false">
      <c r="Y401" s="1"/>
      <c r="Z401" s="1"/>
    </row>
    <row r="402" customFormat="false" ht="12.75" hidden="false" customHeight="true" outlineLevel="0" collapsed="false">
      <c r="Y402" s="1"/>
      <c r="Z402" s="1"/>
    </row>
    <row r="403" customFormat="false" ht="12.75" hidden="false" customHeight="true" outlineLevel="0" collapsed="false">
      <c r="Y403" s="1"/>
      <c r="Z403" s="1"/>
    </row>
    <row r="404" customFormat="false" ht="12.75" hidden="false" customHeight="true" outlineLevel="0" collapsed="false">
      <c r="Y404" s="1"/>
      <c r="Z404" s="1"/>
    </row>
    <row r="405" customFormat="false" ht="12.75" hidden="false" customHeight="true" outlineLevel="0" collapsed="false">
      <c r="Y405" s="1"/>
      <c r="Z405" s="1"/>
    </row>
    <row r="406" customFormat="false" ht="12.75" hidden="false" customHeight="true" outlineLevel="0" collapsed="false">
      <c r="Y406" s="1"/>
      <c r="Z406" s="1"/>
    </row>
    <row r="407" customFormat="false" ht="12.75" hidden="false" customHeight="true" outlineLevel="0" collapsed="false">
      <c r="Y407" s="1"/>
      <c r="Z407" s="1"/>
    </row>
    <row r="408" customFormat="false" ht="12.75" hidden="false" customHeight="true" outlineLevel="0" collapsed="false">
      <c r="Y408" s="1"/>
      <c r="Z408" s="1"/>
    </row>
    <row r="409" customFormat="false" ht="12.75" hidden="false" customHeight="true" outlineLevel="0" collapsed="false">
      <c r="Y409" s="1"/>
      <c r="Z409" s="1"/>
    </row>
    <row r="410" customFormat="false" ht="12.75" hidden="false" customHeight="true" outlineLevel="0" collapsed="false">
      <c r="Y410" s="1"/>
      <c r="Z410" s="1"/>
    </row>
    <row r="411" customFormat="false" ht="12.75" hidden="false" customHeight="true" outlineLevel="0" collapsed="false">
      <c r="Y411" s="1"/>
      <c r="Z411" s="1"/>
    </row>
    <row r="412" customFormat="false" ht="12.75" hidden="false" customHeight="true" outlineLevel="0" collapsed="false">
      <c r="Y412" s="1"/>
      <c r="Z412" s="1"/>
    </row>
    <row r="413" customFormat="false" ht="12.75" hidden="false" customHeight="true" outlineLevel="0" collapsed="false">
      <c r="Y413" s="1"/>
      <c r="Z413" s="1"/>
    </row>
    <row r="414" customFormat="false" ht="12.75" hidden="false" customHeight="true" outlineLevel="0" collapsed="false">
      <c r="Y414" s="1"/>
      <c r="Z414" s="1"/>
    </row>
    <row r="415" customFormat="false" ht="12.75" hidden="false" customHeight="true" outlineLevel="0" collapsed="false">
      <c r="Y415" s="1"/>
      <c r="Z415" s="1"/>
    </row>
    <row r="416" customFormat="false" ht="12.75" hidden="false" customHeight="true" outlineLevel="0" collapsed="false">
      <c r="Y416" s="1"/>
      <c r="Z416" s="1"/>
    </row>
    <row r="417" customFormat="false" ht="12.75" hidden="false" customHeight="true" outlineLevel="0" collapsed="false">
      <c r="Y417" s="1"/>
      <c r="Z417" s="1"/>
    </row>
    <row r="418" customFormat="false" ht="12.75" hidden="false" customHeight="true" outlineLevel="0" collapsed="false">
      <c r="Y418" s="1"/>
      <c r="Z418" s="1"/>
    </row>
    <row r="419" customFormat="false" ht="12.75" hidden="false" customHeight="true" outlineLevel="0" collapsed="false">
      <c r="Y419" s="1"/>
      <c r="Z419" s="1"/>
    </row>
    <row r="420" customFormat="false" ht="12.75" hidden="false" customHeight="true" outlineLevel="0" collapsed="false">
      <c r="Y420" s="1"/>
      <c r="Z420" s="1"/>
    </row>
    <row r="421" customFormat="false" ht="12.75" hidden="false" customHeight="true" outlineLevel="0" collapsed="false">
      <c r="Y421" s="1"/>
      <c r="Z421" s="1"/>
    </row>
    <row r="422" customFormat="false" ht="12.75" hidden="false" customHeight="true" outlineLevel="0" collapsed="false">
      <c r="Y422" s="1"/>
      <c r="Z422" s="1"/>
    </row>
    <row r="423" customFormat="false" ht="12.75" hidden="false" customHeight="true" outlineLevel="0" collapsed="false">
      <c r="Y423" s="1"/>
      <c r="Z423" s="1"/>
    </row>
    <row r="424" customFormat="false" ht="12.75" hidden="false" customHeight="true" outlineLevel="0" collapsed="false">
      <c r="Y424" s="1"/>
      <c r="Z424" s="1"/>
    </row>
    <row r="425" customFormat="false" ht="12.75" hidden="false" customHeight="true" outlineLevel="0" collapsed="false">
      <c r="Y425" s="1"/>
      <c r="Z425" s="1"/>
    </row>
    <row r="426" customFormat="false" ht="12.75" hidden="false" customHeight="true" outlineLevel="0" collapsed="false">
      <c r="Y426" s="1"/>
      <c r="Z426" s="1"/>
    </row>
    <row r="427" customFormat="false" ht="12.75" hidden="false" customHeight="true" outlineLevel="0" collapsed="false">
      <c r="Y427" s="1"/>
      <c r="Z427" s="1"/>
    </row>
    <row r="428" customFormat="false" ht="12.75" hidden="false" customHeight="true" outlineLevel="0" collapsed="false">
      <c r="Y428" s="1"/>
      <c r="Z428" s="1"/>
    </row>
    <row r="429" customFormat="false" ht="12.75" hidden="false" customHeight="true" outlineLevel="0" collapsed="false">
      <c r="Y429" s="1"/>
      <c r="Z429" s="1"/>
    </row>
    <row r="430" customFormat="false" ht="12.75" hidden="false" customHeight="true" outlineLevel="0" collapsed="false">
      <c r="Y430" s="1"/>
      <c r="Z430" s="1"/>
    </row>
    <row r="431" customFormat="false" ht="12.75" hidden="false" customHeight="true" outlineLevel="0" collapsed="false">
      <c r="Y431" s="1"/>
      <c r="Z431" s="1"/>
    </row>
    <row r="432" customFormat="false" ht="12.75" hidden="false" customHeight="true" outlineLevel="0" collapsed="false">
      <c r="Y432" s="1"/>
      <c r="Z432" s="1"/>
    </row>
    <row r="433" customFormat="false" ht="12.75" hidden="false" customHeight="true" outlineLevel="0" collapsed="false">
      <c r="Y433" s="1"/>
      <c r="Z433" s="1"/>
    </row>
    <row r="434" customFormat="false" ht="12.75" hidden="false" customHeight="true" outlineLevel="0" collapsed="false">
      <c r="Y434" s="1"/>
      <c r="Z434" s="1"/>
    </row>
    <row r="435" customFormat="false" ht="12.75" hidden="false" customHeight="true" outlineLevel="0" collapsed="false">
      <c r="Y435" s="1"/>
      <c r="Z435" s="1"/>
    </row>
    <row r="436" customFormat="false" ht="12.75" hidden="false" customHeight="true" outlineLevel="0" collapsed="false">
      <c r="Y436" s="1"/>
      <c r="Z436" s="1"/>
    </row>
    <row r="437" customFormat="false" ht="12.75" hidden="false" customHeight="true" outlineLevel="0" collapsed="false">
      <c r="Y437" s="1"/>
      <c r="Z437" s="1"/>
    </row>
    <row r="438" customFormat="false" ht="12.75" hidden="false" customHeight="true" outlineLevel="0" collapsed="false">
      <c r="Y438" s="1"/>
      <c r="Z438" s="1"/>
    </row>
    <row r="439" customFormat="false" ht="12.75" hidden="false" customHeight="true" outlineLevel="0" collapsed="false">
      <c r="Y439" s="1"/>
      <c r="Z439" s="1"/>
    </row>
    <row r="440" customFormat="false" ht="12.75" hidden="false" customHeight="true" outlineLevel="0" collapsed="false">
      <c r="Y440" s="1"/>
      <c r="Z440" s="1"/>
    </row>
    <row r="441" customFormat="false" ht="12.75" hidden="false" customHeight="true" outlineLevel="0" collapsed="false">
      <c r="Y441" s="1"/>
      <c r="Z441" s="1"/>
    </row>
    <row r="442" customFormat="false" ht="12.75" hidden="false" customHeight="true" outlineLevel="0" collapsed="false">
      <c r="Y442" s="1"/>
      <c r="Z442" s="1"/>
    </row>
    <row r="443" customFormat="false" ht="12.75" hidden="false" customHeight="true" outlineLevel="0" collapsed="false">
      <c r="Y443" s="1"/>
      <c r="Z443" s="1"/>
    </row>
    <row r="444" customFormat="false" ht="12.75" hidden="false" customHeight="true" outlineLevel="0" collapsed="false">
      <c r="Y444" s="1"/>
      <c r="Z444" s="1"/>
    </row>
    <row r="445" customFormat="false" ht="12.75" hidden="false" customHeight="true" outlineLevel="0" collapsed="false">
      <c r="Y445" s="1"/>
      <c r="Z445" s="1"/>
    </row>
    <row r="446" customFormat="false" ht="12.75" hidden="false" customHeight="true" outlineLevel="0" collapsed="false">
      <c r="Y446" s="1"/>
      <c r="Z446" s="1"/>
    </row>
    <row r="447" customFormat="false" ht="12.75" hidden="false" customHeight="true" outlineLevel="0" collapsed="false">
      <c r="Y447" s="1"/>
      <c r="Z447" s="1"/>
    </row>
    <row r="448" customFormat="false" ht="12.75" hidden="false" customHeight="true" outlineLevel="0" collapsed="false">
      <c r="Y448" s="1"/>
      <c r="Z448" s="1"/>
    </row>
    <row r="449" customFormat="false" ht="12.75" hidden="false" customHeight="true" outlineLevel="0" collapsed="false">
      <c r="Y449" s="1"/>
      <c r="Z449" s="1"/>
    </row>
    <row r="450" customFormat="false" ht="12.75" hidden="false" customHeight="true" outlineLevel="0" collapsed="false">
      <c r="Y450" s="1"/>
      <c r="Z450" s="1"/>
    </row>
    <row r="451" customFormat="false" ht="12.75" hidden="false" customHeight="true" outlineLevel="0" collapsed="false">
      <c r="Y451" s="1"/>
      <c r="Z451" s="1"/>
    </row>
    <row r="452" customFormat="false" ht="12.75" hidden="false" customHeight="true" outlineLevel="0" collapsed="false">
      <c r="Y452" s="1"/>
      <c r="Z452" s="1"/>
    </row>
    <row r="453" customFormat="false" ht="12.75" hidden="false" customHeight="true" outlineLevel="0" collapsed="false">
      <c r="Y453" s="1"/>
      <c r="Z453" s="1"/>
    </row>
    <row r="454" customFormat="false" ht="12.75" hidden="false" customHeight="true" outlineLevel="0" collapsed="false">
      <c r="Y454" s="1"/>
      <c r="Z454" s="1"/>
    </row>
    <row r="455" customFormat="false" ht="12.75" hidden="false" customHeight="true" outlineLevel="0" collapsed="false">
      <c r="Y455" s="1"/>
      <c r="Z455" s="1"/>
    </row>
    <row r="456" customFormat="false" ht="12.75" hidden="false" customHeight="true" outlineLevel="0" collapsed="false">
      <c r="Y456" s="1"/>
      <c r="Z456" s="1"/>
    </row>
    <row r="457" customFormat="false" ht="12.75" hidden="false" customHeight="true" outlineLevel="0" collapsed="false">
      <c r="Y457" s="1"/>
      <c r="Z457" s="1"/>
    </row>
    <row r="458" customFormat="false" ht="12.75" hidden="false" customHeight="true" outlineLevel="0" collapsed="false">
      <c r="Y458" s="1"/>
      <c r="Z458" s="1"/>
    </row>
    <row r="459" customFormat="false" ht="12.75" hidden="false" customHeight="true" outlineLevel="0" collapsed="false">
      <c r="Y459" s="1"/>
      <c r="Z459" s="1"/>
    </row>
    <row r="460" customFormat="false" ht="12.75" hidden="false" customHeight="true" outlineLevel="0" collapsed="false">
      <c r="Y460" s="1"/>
      <c r="Z460" s="1"/>
    </row>
    <row r="461" customFormat="false" ht="12.75" hidden="false" customHeight="true" outlineLevel="0" collapsed="false">
      <c r="Y461" s="1"/>
      <c r="Z461" s="1"/>
    </row>
    <row r="462" customFormat="false" ht="12.75" hidden="false" customHeight="true" outlineLevel="0" collapsed="false">
      <c r="Y462" s="1"/>
      <c r="Z462" s="1"/>
    </row>
    <row r="463" customFormat="false" ht="12.75" hidden="false" customHeight="true" outlineLevel="0" collapsed="false">
      <c r="Y463" s="1"/>
      <c r="Z463" s="1"/>
    </row>
    <row r="464" customFormat="false" ht="12.75" hidden="false" customHeight="true" outlineLevel="0" collapsed="false">
      <c r="Y464" s="1"/>
      <c r="Z464" s="1"/>
    </row>
    <row r="465" customFormat="false" ht="12.75" hidden="false" customHeight="true" outlineLevel="0" collapsed="false">
      <c r="Y465" s="1"/>
      <c r="Z465" s="1"/>
    </row>
    <row r="466" customFormat="false" ht="12.75" hidden="false" customHeight="true" outlineLevel="0" collapsed="false">
      <c r="Y466" s="1"/>
      <c r="Z466" s="1"/>
    </row>
    <row r="467" customFormat="false" ht="12.75" hidden="false" customHeight="true" outlineLevel="0" collapsed="false">
      <c r="Y467" s="1"/>
      <c r="Z467" s="1"/>
    </row>
    <row r="468" customFormat="false" ht="12.75" hidden="false" customHeight="true" outlineLevel="0" collapsed="false">
      <c r="Y468" s="1"/>
      <c r="Z468" s="1"/>
    </row>
    <row r="469" customFormat="false" ht="12.75" hidden="false" customHeight="true" outlineLevel="0" collapsed="false">
      <c r="Y469" s="1"/>
      <c r="Z469" s="1"/>
    </row>
    <row r="470" customFormat="false" ht="12.75" hidden="false" customHeight="true" outlineLevel="0" collapsed="false">
      <c r="Y470" s="1"/>
      <c r="Z470" s="1"/>
    </row>
    <row r="471" customFormat="false" ht="12.75" hidden="false" customHeight="true" outlineLevel="0" collapsed="false">
      <c r="Y471" s="1"/>
      <c r="Z471" s="1"/>
    </row>
    <row r="472" customFormat="false" ht="12.75" hidden="false" customHeight="true" outlineLevel="0" collapsed="false">
      <c r="Y472" s="1"/>
      <c r="Z472" s="1"/>
    </row>
    <row r="473" customFormat="false" ht="12.75" hidden="false" customHeight="true" outlineLevel="0" collapsed="false">
      <c r="Y473" s="1"/>
      <c r="Z473" s="1"/>
    </row>
    <row r="474" customFormat="false" ht="12.75" hidden="false" customHeight="true" outlineLevel="0" collapsed="false">
      <c r="Y474" s="1"/>
      <c r="Z474" s="1"/>
    </row>
    <row r="475" customFormat="false" ht="12.75" hidden="false" customHeight="true" outlineLevel="0" collapsed="false">
      <c r="Y475" s="1"/>
      <c r="Z475" s="1"/>
    </row>
    <row r="476" customFormat="false" ht="12.75" hidden="false" customHeight="true" outlineLevel="0" collapsed="false">
      <c r="Y476" s="1"/>
      <c r="Z476" s="1"/>
    </row>
    <row r="477" customFormat="false" ht="12.75" hidden="false" customHeight="true" outlineLevel="0" collapsed="false">
      <c r="Y477" s="1"/>
      <c r="Z477" s="1"/>
    </row>
    <row r="478" customFormat="false" ht="12.75" hidden="false" customHeight="true" outlineLevel="0" collapsed="false">
      <c r="Y478" s="1"/>
      <c r="Z478" s="1"/>
    </row>
    <row r="479" customFormat="false" ht="12.75" hidden="false" customHeight="true" outlineLevel="0" collapsed="false">
      <c r="Y479" s="1"/>
      <c r="Z479" s="1"/>
    </row>
    <row r="480" customFormat="false" ht="12.75" hidden="false" customHeight="true" outlineLevel="0" collapsed="false">
      <c r="Y480" s="1"/>
      <c r="Z480" s="1"/>
    </row>
    <row r="481" customFormat="false" ht="12.75" hidden="false" customHeight="true" outlineLevel="0" collapsed="false">
      <c r="Y481" s="1"/>
      <c r="Z481" s="1"/>
    </row>
    <row r="482" customFormat="false" ht="12.75" hidden="false" customHeight="true" outlineLevel="0" collapsed="false">
      <c r="Y482" s="1"/>
      <c r="Z482" s="1"/>
    </row>
    <row r="483" customFormat="false" ht="12.75" hidden="false" customHeight="true" outlineLevel="0" collapsed="false">
      <c r="Y483" s="1"/>
      <c r="Z483" s="1"/>
    </row>
    <row r="484" customFormat="false" ht="12.75" hidden="false" customHeight="true" outlineLevel="0" collapsed="false">
      <c r="Y484" s="1"/>
      <c r="Z484" s="1"/>
    </row>
    <row r="485" customFormat="false" ht="12.75" hidden="false" customHeight="true" outlineLevel="0" collapsed="false">
      <c r="Y485" s="1"/>
      <c r="Z485" s="1"/>
    </row>
    <row r="486" customFormat="false" ht="12.75" hidden="false" customHeight="true" outlineLevel="0" collapsed="false">
      <c r="Y486" s="1"/>
      <c r="Z486" s="1"/>
    </row>
    <row r="487" customFormat="false" ht="12.75" hidden="false" customHeight="true" outlineLevel="0" collapsed="false">
      <c r="Y487" s="1"/>
      <c r="Z487" s="1"/>
    </row>
    <row r="488" customFormat="false" ht="12.75" hidden="false" customHeight="true" outlineLevel="0" collapsed="false">
      <c r="Y488" s="1"/>
      <c r="Z488" s="1"/>
    </row>
    <row r="489" customFormat="false" ht="12.75" hidden="false" customHeight="true" outlineLevel="0" collapsed="false">
      <c r="Y489" s="1"/>
      <c r="Z489" s="1"/>
    </row>
    <row r="490" customFormat="false" ht="12.75" hidden="false" customHeight="true" outlineLevel="0" collapsed="false">
      <c r="Y490" s="1"/>
      <c r="Z490" s="1"/>
    </row>
    <row r="491" customFormat="false" ht="12.75" hidden="false" customHeight="true" outlineLevel="0" collapsed="false">
      <c r="Y491" s="1"/>
      <c r="Z491" s="1"/>
    </row>
    <row r="492" customFormat="false" ht="12.75" hidden="false" customHeight="true" outlineLevel="0" collapsed="false">
      <c r="Y492" s="1"/>
      <c r="Z492" s="1"/>
    </row>
    <row r="493" customFormat="false" ht="12.75" hidden="false" customHeight="true" outlineLevel="0" collapsed="false">
      <c r="Y493" s="1"/>
      <c r="Z493" s="1"/>
    </row>
    <row r="494" customFormat="false" ht="12.75" hidden="false" customHeight="true" outlineLevel="0" collapsed="false">
      <c r="Y494" s="1"/>
      <c r="Z494" s="1"/>
    </row>
    <row r="495" customFormat="false" ht="12.75" hidden="false" customHeight="true" outlineLevel="0" collapsed="false">
      <c r="Y495" s="1"/>
      <c r="Z495" s="1"/>
    </row>
    <row r="496" customFormat="false" ht="12.75" hidden="false" customHeight="true" outlineLevel="0" collapsed="false">
      <c r="Y496" s="1"/>
      <c r="Z496" s="1"/>
    </row>
    <row r="497" customFormat="false" ht="12.75" hidden="false" customHeight="true" outlineLevel="0" collapsed="false">
      <c r="Y497" s="1"/>
      <c r="Z497" s="1"/>
    </row>
    <row r="498" customFormat="false" ht="12.75" hidden="false" customHeight="true" outlineLevel="0" collapsed="false">
      <c r="Y498" s="1"/>
      <c r="Z498" s="1"/>
    </row>
    <row r="499" customFormat="false" ht="12.75" hidden="false" customHeight="true" outlineLevel="0" collapsed="false">
      <c r="Y499" s="1"/>
      <c r="Z499" s="1"/>
    </row>
    <row r="500" customFormat="false" ht="12.75" hidden="false" customHeight="true" outlineLevel="0" collapsed="false">
      <c r="Y500" s="1"/>
      <c r="Z500" s="1"/>
    </row>
    <row r="501" customFormat="false" ht="12.75" hidden="false" customHeight="true" outlineLevel="0" collapsed="false">
      <c r="Y501" s="1"/>
      <c r="Z501" s="1"/>
    </row>
    <row r="502" customFormat="false" ht="12.75" hidden="false" customHeight="true" outlineLevel="0" collapsed="false">
      <c r="Y502" s="1"/>
      <c r="Z502" s="1"/>
    </row>
    <row r="503" customFormat="false" ht="12.75" hidden="false" customHeight="true" outlineLevel="0" collapsed="false">
      <c r="Y503" s="1"/>
      <c r="Z503" s="1"/>
    </row>
    <row r="504" customFormat="false" ht="12.75" hidden="false" customHeight="true" outlineLevel="0" collapsed="false">
      <c r="Y504" s="1"/>
      <c r="Z504" s="1"/>
    </row>
    <row r="505" customFormat="false" ht="12.75" hidden="false" customHeight="true" outlineLevel="0" collapsed="false">
      <c r="Y505" s="1"/>
      <c r="Z505" s="1"/>
    </row>
    <row r="506" customFormat="false" ht="12.75" hidden="false" customHeight="true" outlineLevel="0" collapsed="false">
      <c r="Y506" s="1"/>
      <c r="Z506" s="1"/>
    </row>
    <row r="507" customFormat="false" ht="12.75" hidden="false" customHeight="true" outlineLevel="0" collapsed="false">
      <c r="Y507" s="1"/>
      <c r="Z507" s="1"/>
    </row>
    <row r="508" customFormat="false" ht="12.75" hidden="false" customHeight="true" outlineLevel="0" collapsed="false">
      <c r="Y508" s="1"/>
      <c r="Z508" s="1"/>
    </row>
    <row r="509" customFormat="false" ht="12.75" hidden="false" customHeight="true" outlineLevel="0" collapsed="false">
      <c r="Y509" s="1"/>
      <c r="Z509" s="1"/>
    </row>
    <row r="510" customFormat="false" ht="12.75" hidden="false" customHeight="true" outlineLevel="0" collapsed="false">
      <c r="Y510" s="1"/>
      <c r="Z510" s="1"/>
    </row>
    <row r="511" customFormat="false" ht="12.75" hidden="false" customHeight="true" outlineLevel="0" collapsed="false">
      <c r="Y511" s="1"/>
      <c r="Z511" s="1"/>
    </row>
    <row r="512" customFormat="false" ht="12.75" hidden="false" customHeight="true" outlineLevel="0" collapsed="false">
      <c r="Y512" s="1"/>
      <c r="Z512" s="1"/>
    </row>
    <row r="513" customFormat="false" ht="12.75" hidden="false" customHeight="true" outlineLevel="0" collapsed="false">
      <c r="Y513" s="1"/>
      <c r="Z513" s="1"/>
    </row>
    <row r="514" customFormat="false" ht="12.75" hidden="false" customHeight="true" outlineLevel="0" collapsed="false">
      <c r="Y514" s="1"/>
      <c r="Z514" s="1"/>
    </row>
    <row r="515" customFormat="false" ht="12.75" hidden="false" customHeight="true" outlineLevel="0" collapsed="false">
      <c r="Y515" s="1"/>
      <c r="Z515" s="1"/>
    </row>
    <row r="516" customFormat="false" ht="12.75" hidden="false" customHeight="true" outlineLevel="0" collapsed="false">
      <c r="Y516" s="1"/>
      <c r="Z516" s="1"/>
    </row>
    <row r="517" customFormat="false" ht="12.75" hidden="false" customHeight="true" outlineLevel="0" collapsed="false">
      <c r="Y517" s="1"/>
      <c r="Z517" s="1"/>
    </row>
    <row r="518" customFormat="false" ht="12.75" hidden="false" customHeight="true" outlineLevel="0" collapsed="false">
      <c r="Y518" s="1"/>
      <c r="Z518" s="1"/>
    </row>
    <row r="519" customFormat="false" ht="12.75" hidden="false" customHeight="true" outlineLevel="0" collapsed="false">
      <c r="Y519" s="1"/>
      <c r="Z519" s="1"/>
    </row>
    <row r="520" customFormat="false" ht="12.75" hidden="false" customHeight="true" outlineLevel="0" collapsed="false">
      <c r="Y520" s="1"/>
      <c r="Z520" s="1"/>
    </row>
    <row r="521" customFormat="false" ht="12.75" hidden="false" customHeight="true" outlineLevel="0" collapsed="false">
      <c r="Y521" s="1"/>
      <c r="Z521" s="1"/>
    </row>
    <row r="522" customFormat="false" ht="12.75" hidden="false" customHeight="true" outlineLevel="0" collapsed="false">
      <c r="Y522" s="1"/>
      <c r="Z522" s="1"/>
    </row>
    <row r="523" customFormat="false" ht="12.75" hidden="false" customHeight="true" outlineLevel="0" collapsed="false">
      <c r="Y523" s="1"/>
      <c r="Z523" s="1"/>
    </row>
    <row r="524" customFormat="false" ht="12.75" hidden="false" customHeight="true" outlineLevel="0" collapsed="false">
      <c r="Y524" s="1"/>
      <c r="Z524" s="1"/>
    </row>
    <row r="525" customFormat="false" ht="12.75" hidden="false" customHeight="true" outlineLevel="0" collapsed="false">
      <c r="Y525" s="1"/>
      <c r="Z525" s="1"/>
    </row>
    <row r="526" customFormat="false" ht="12.75" hidden="false" customHeight="true" outlineLevel="0" collapsed="false">
      <c r="Y526" s="1"/>
      <c r="Z526" s="1"/>
    </row>
    <row r="527" customFormat="false" ht="12.75" hidden="false" customHeight="true" outlineLevel="0" collapsed="false">
      <c r="Y527" s="1"/>
      <c r="Z527" s="1"/>
    </row>
    <row r="528" customFormat="false" ht="12.75" hidden="false" customHeight="true" outlineLevel="0" collapsed="false">
      <c r="Y528" s="1"/>
      <c r="Z528" s="1"/>
    </row>
    <row r="529" customFormat="false" ht="12.75" hidden="false" customHeight="true" outlineLevel="0" collapsed="false">
      <c r="Y529" s="1"/>
      <c r="Z529" s="1"/>
    </row>
    <row r="530" customFormat="false" ht="12.75" hidden="false" customHeight="true" outlineLevel="0" collapsed="false">
      <c r="Y530" s="1"/>
      <c r="Z530" s="1"/>
    </row>
    <row r="531" customFormat="false" ht="12.75" hidden="false" customHeight="true" outlineLevel="0" collapsed="false">
      <c r="Y531" s="1"/>
      <c r="Z531" s="1"/>
    </row>
    <row r="532" customFormat="false" ht="12.75" hidden="false" customHeight="true" outlineLevel="0" collapsed="false">
      <c r="Y532" s="1"/>
      <c r="Z532" s="1"/>
    </row>
    <row r="533" customFormat="false" ht="12.75" hidden="false" customHeight="true" outlineLevel="0" collapsed="false">
      <c r="Y533" s="1"/>
      <c r="Z533" s="1"/>
    </row>
    <row r="534" customFormat="false" ht="12.75" hidden="false" customHeight="true" outlineLevel="0" collapsed="false">
      <c r="Y534" s="1"/>
      <c r="Z534" s="1"/>
    </row>
    <row r="535" customFormat="false" ht="12.75" hidden="false" customHeight="true" outlineLevel="0" collapsed="false">
      <c r="Y535" s="1"/>
      <c r="Z535" s="1"/>
    </row>
    <row r="536" customFormat="false" ht="12.75" hidden="false" customHeight="true" outlineLevel="0" collapsed="false">
      <c r="Y536" s="1"/>
      <c r="Z536" s="1"/>
    </row>
    <row r="537" customFormat="false" ht="12.75" hidden="false" customHeight="true" outlineLevel="0" collapsed="false">
      <c r="Y537" s="1"/>
      <c r="Z537" s="1"/>
    </row>
    <row r="538" customFormat="false" ht="12.75" hidden="false" customHeight="true" outlineLevel="0" collapsed="false">
      <c r="Y538" s="1"/>
      <c r="Z538" s="1"/>
    </row>
    <row r="539" customFormat="false" ht="12.75" hidden="false" customHeight="true" outlineLevel="0" collapsed="false">
      <c r="Y539" s="1"/>
      <c r="Z539" s="1"/>
    </row>
    <row r="540" customFormat="false" ht="12.75" hidden="false" customHeight="true" outlineLevel="0" collapsed="false">
      <c r="Y540" s="1"/>
      <c r="Z540" s="1"/>
    </row>
    <row r="541" customFormat="false" ht="12.75" hidden="false" customHeight="true" outlineLevel="0" collapsed="false">
      <c r="Y541" s="1"/>
      <c r="Z541" s="1"/>
    </row>
    <row r="542" customFormat="false" ht="12.75" hidden="false" customHeight="true" outlineLevel="0" collapsed="false">
      <c r="Y542" s="1"/>
      <c r="Z542" s="1"/>
    </row>
    <row r="543" customFormat="false" ht="12.75" hidden="false" customHeight="true" outlineLevel="0" collapsed="false">
      <c r="Y543" s="1"/>
      <c r="Z543" s="1"/>
    </row>
    <row r="544" customFormat="false" ht="12.75" hidden="false" customHeight="true" outlineLevel="0" collapsed="false">
      <c r="Y544" s="1"/>
      <c r="Z544" s="1"/>
    </row>
    <row r="545" customFormat="false" ht="12.75" hidden="false" customHeight="true" outlineLevel="0" collapsed="false">
      <c r="Y545" s="1"/>
      <c r="Z545" s="1"/>
    </row>
    <row r="546" customFormat="false" ht="12.75" hidden="false" customHeight="true" outlineLevel="0" collapsed="false">
      <c r="Y546" s="1"/>
      <c r="Z546" s="1"/>
    </row>
    <row r="547" customFormat="false" ht="12.75" hidden="false" customHeight="true" outlineLevel="0" collapsed="false">
      <c r="Y547" s="1"/>
      <c r="Z547" s="1"/>
    </row>
    <row r="548" customFormat="false" ht="12.75" hidden="false" customHeight="true" outlineLevel="0" collapsed="false">
      <c r="Y548" s="1"/>
      <c r="Z548" s="1"/>
    </row>
    <row r="549" customFormat="false" ht="12.75" hidden="false" customHeight="true" outlineLevel="0" collapsed="false">
      <c r="Y549" s="1"/>
      <c r="Z549" s="1"/>
    </row>
    <row r="550" customFormat="false" ht="12.75" hidden="false" customHeight="true" outlineLevel="0" collapsed="false">
      <c r="Y550" s="1"/>
      <c r="Z550" s="1"/>
    </row>
    <row r="551" customFormat="false" ht="12.75" hidden="false" customHeight="true" outlineLevel="0" collapsed="false">
      <c r="Y551" s="1"/>
      <c r="Z551" s="1"/>
    </row>
    <row r="552" customFormat="false" ht="12.75" hidden="false" customHeight="true" outlineLevel="0" collapsed="false">
      <c r="Y552" s="1"/>
      <c r="Z552" s="1"/>
    </row>
    <row r="553" customFormat="false" ht="12.75" hidden="false" customHeight="true" outlineLevel="0" collapsed="false">
      <c r="Y553" s="1"/>
      <c r="Z553" s="1"/>
    </row>
    <row r="554" customFormat="false" ht="12.75" hidden="false" customHeight="true" outlineLevel="0" collapsed="false">
      <c r="Y554" s="1"/>
      <c r="Z554" s="1"/>
    </row>
    <row r="555" customFormat="false" ht="12.75" hidden="false" customHeight="true" outlineLevel="0" collapsed="false">
      <c r="Y555" s="1"/>
      <c r="Z555" s="1"/>
    </row>
    <row r="556" customFormat="false" ht="12.75" hidden="false" customHeight="true" outlineLevel="0" collapsed="false">
      <c r="Y556" s="1"/>
      <c r="Z556" s="1"/>
    </row>
    <row r="557" customFormat="false" ht="12.75" hidden="false" customHeight="true" outlineLevel="0" collapsed="false">
      <c r="Y557" s="1"/>
      <c r="Z557" s="1"/>
    </row>
    <row r="558" customFormat="false" ht="12.75" hidden="false" customHeight="true" outlineLevel="0" collapsed="false">
      <c r="Y558" s="1"/>
      <c r="Z558" s="1"/>
    </row>
    <row r="559" customFormat="false" ht="12.75" hidden="false" customHeight="true" outlineLevel="0" collapsed="false">
      <c r="Y559" s="1"/>
      <c r="Z559" s="1"/>
    </row>
    <row r="560" customFormat="false" ht="12.75" hidden="false" customHeight="true" outlineLevel="0" collapsed="false">
      <c r="Y560" s="1"/>
      <c r="Z560" s="1"/>
    </row>
    <row r="561" customFormat="false" ht="12.75" hidden="false" customHeight="true" outlineLevel="0" collapsed="false">
      <c r="Y561" s="1"/>
      <c r="Z561" s="1"/>
    </row>
    <row r="562" customFormat="false" ht="12.75" hidden="false" customHeight="true" outlineLevel="0" collapsed="false">
      <c r="Y562" s="1"/>
      <c r="Z562" s="1"/>
    </row>
    <row r="563" customFormat="false" ht="12.75" hidden="false" customHeight="true" outlineLevel="0" collapsed="false">
      <c r="Y563" s="1"/>
      <c r="Z563" s="1"/>
    </row>
    <row r="564" customFormat="false" ht="12.75" hidden="false" customHeight="true" outlineLevel="0" collapsed="false">
      <c r="Y564" s="1"/>
      <c r="Z564" s="1"/>
    </row>
    <row r="565" customFormat="false" ht="12.75" hidden="false" customHeight="true" outlineLevel="0" collapsed="false">
      <c r="Y565" s="1"/>
      <c r="Z565" s="1"/>
    </row>
    <row r="566" customFormat="false" ht="12.75" hidden="false" customHeight="true" outlineLevel="0" collapsed="false">
      <c r="Y566" s="1"/>
      <c r="Z566" s="1"/>
    </row>
    <row r="567" customFormat="false" ht="12.75" hidden="false" customHeight="true" outlineLevel="0" collapsed="false">
      <c r="Y567" s="1"/>
      <c r="Z567" s="1"/>
    </row>
    <row r="568" customFormat="false" ht="12.75" hidden="false" customHeight="true" outlineLevel="0" collapsed="false">
      <c r="Y568" s="1"/>
      <c r="Z568" s="1"/>
    </row>
    <row r="569" customFormat="false" ht="12.75" hidden="false" customHeight="true" outlineLevel="0" collapsed="false">
      <c r="Y569" s="1"/>
      <c r="Z569" s="1"/>
    </row>
    <row r="570" customFormat="false" ht="12.75" hidden="false" customHeight="true" outlineLevel="0" collapsed="false">
      <c r="Y570" s="1"/>
      <c r="Z570" s="1"/>
    </row>
    <row r="571" customFormat="false" ht="12.75" hidden="false" customHeight="true" outlineLevel="0" collapsed="false">
      <c r="Y571" s="1"/>
      <c r="Z571" s="1"/>
    </row>
    <row r="572" customFormat="false" ht="12.75" hidden="false" customHeight="true" outlineLevel="0" collapsed="false">
      <c r="Y572" s="1"/>
      <c r="Z572" s="1"/>
    </row>
    <row r="573" customFormat="false" ht="12.75" hidden="false" customHeight="true" outlineLevel="0" collapsed="false">
      <c r="Y573" s="1"/>
      <c r="Z573" s="1"/>
    </row>
    <row r="574" customFormat="false" ht="12.75" hidden="false" customHeight="true" outlineLevel="0" collapsed="false">
      <c r="Y574" s="1"/>
      <c r="Z574" s="1"/>
    </row>
    <row r="575" customFormat="false" ht="12.75" hidden="false" customHeight="true" outlineLevel="0" collapsed="false">
      <c r="Y575" s="1"/>
      <c r="Z575" s="1"/>
    </row>
    <row r="576" customFormat="false" ht="12.75" hidden="false" customHeight="true" outlineLevel="0" collapsed="false">
      <c r="Y576" s="1"/>
      <c r="Z576" s="1"/>
    </row>
    <row r="577" customFormat="false" ht="12.75" hidden="false" customHeight="true" outlineLevel="0" collapsed="false">
      <c r="Y577" s="1"/>
      <c r="Z577" s="1"/>
    </row>
    <row r="578" customFormat="false" ht="12.75" hidden="false" customHeight="true" outlineLevel="0" collapsed="false">
      <c r="Y578" s="1"/>
      <c r="Z578" s="1"/>
    </row>
    <row r="579" customFormat="false" ht="12.75" hidden="false" customHeight="true" outlineLevel="0" collapsed="false">
      <c r="Y579" s="1"/>
      <c r="Z579" s="1"/>
    </row>
    <row r="580" customFormat="false" ht="12.75" hidden="false" customHeight="true" outlineLevel="0" collapsed="false">
      <c r="Y580" s="1"/>
      <c r="Z580" s="1"/>
    </row>
    <row r="581" customFormat="false" ht="12.75" hidden="false" customHeight="true" outlineLevel="0" collapsed="false">
      <c r="Y581" s="1"/>
      <c r="Z581" s="1"/>
    </row>
    <row r="582" customFormat="false" ht="12.75" hidden="false" customHeight="true" outlineLevel="0" collapsed="false">
      <c r="Y582" s="1"/>
      <c r="Z582" s="1"/>
    </row>
    <row r="583" customFormat="false" ht="12.75" hidden="false" customHeight="true" outlineLevel="0" collapsed="false">
      <c r="Y583" s="1"/>
      <c r="Z583" s="1"/>
    </row>
    <row r="584" customFormat="false" ht="12.75" hidden="false" customHeight="true" outlineLevel="0" collapsed="false">
      <c r="Y584" s="1"/>
      <c r="Z584" s="1"/>
    </row>
    <row r="585" customFormat="false" ht="12.75" hidden="false" customHeight="true" outlineLevel="0" collapsed="false">
      <c r="Y585" s="1"/>
      <c r="Z585" s="1"/>
    </row>
    <row r="586" customFormat="false" ht="12.75" hidden="false" customHeight="true" outlineLevel="0" collapsed="false">
      <c r="Y586" s="1"/>
      <c r="Z586" s="1"/>
    </row>
    <row r="587" customFormat="false" ht="12.75" hidden="false" customHeight="true" outlineLevel="0" collapsed="false">
      <c r="Y587" s="1"/>
      <c r="Z587" s="1"/>
    </row>
    <row r="588" customFormat="false" ht="12.75" hidden="false" customHeight="true" outlineLevel="0" collapsed="false">
      <c r="Y588" s="1"/>
      <c r="Z588" s="1"/>
    </row>
    <row r="589" customFormat="false" ht="12.75" hidden="false" customHeight="true" outlineLevel="0" collapsed="false">
      <c r="Y589" s="1"/>
      <c r="Z589" s="1"/>
    </row>
    <row r="590" customFormat="false" ht="12.75" hidden="false" customHeight="true" outlineLevel="0" collapsed="false">
      <c r="Y590" s="1"/>
      <c r="Z590" s="1"/>
    </row>
    <row r="591" customFormat="false" ht="12.75" hidden="false" customHeight="true" outlineLevel="0" collapsed="false">
      <c r="Y591" s="1"/>
      <c r="Z591" s="1"/>
    </row>
    <row r="592" customFormat="false" ht="12.75" hidden="false" customHeight="true" outlineLevel="0" collapsed="false">
      <c r="Y592" s="1"/>
      <c r="Z592" s="1"/>
    </row>
    <row r="593" customFormat="false" ht="12.75" hidden="false" customHeight="true" outlineLevel="0" collapsed="false">
      <c r="Y593" s="1"/>
      <c r="Z593" s="1"/>
    </row>
    <row r="594" customFormat="false" ht="12.75" hidden="false" customHeight="true" outlineLevel="0" collapsed="false">
      <c r="Y594" s="1"/>
      <c r="Z594" s="1"/>
    </row>
    <row r="595" customFormat="false" ht="12.75" hidden="false" customHeight="true" outlineLevel="0" collapsed="false">
      <c r="Y595" s="1"/>
      <c r="Z595" s="1"/>
    </row>
    <row r="596" customFormat="false" ht="12.75" hidden="false" customHeight="true" outlineLevel="0" collapsed="false">
      <c r="Y596" s="1"/>
      <c r="Z596" s="1"/>
    </row>
    <row r="597" customFormat="false" ht="12.75" hidden="false" customHeight="true" outlineLevel="0" collapsed="false">
      <c r="Y597" s="1"/>
      <c r="Z597" s="1"/>
    </row>
    <row r="598" customFormat="false" ht="12.75" hidden="false" customHeight="true" outlineLevel="0" collapsed="false">
      <c r="Y598" s="1"/>
      <c r="Z598" s="1"/>
    </row>
    <row r="599" customFormat="false" ht="12.75" hidden="false" customHeight="true" outlineLevel="0" collapsed="false">
      <c r="Y599" s="1"/>
      <c r="Z599" s="1"/>
    </row>
    <row r="600" customFormat="false" ht="12.75" hidden="false" customHeight="true" outlineLevel="0" collapsed="false">
      <c r="Y600" s="1"/>
      <c r="Z600" s="1"/>
    </row>
    <row r="601" customFormat="false" ht="12.75" hidden="false" customHeight="true" outlineLevel="0" collapsed="false">
      <c r="Y601" s="1"/>
      <c r="Z601" s="1"/>
    </row>
    <row r="602" customFormat="false" ht="12.75" hidden="false" customHeight="true" outlineLevel="0" collapsed="false">
      <c r="Y602" s="1"/>
      <c r="Z602" s="1"/>
    </row>
    <row r="603" customFormat="false" ht="12.75" hidden="false" customHeight="true" outlineLevel="0" collapsed="false">
      <c r="Y603" s="1"/>
      <c r="Z603" s="1"/>
    </row>
    <row r="604" customFormat="false" ht="12.75" hidden="false" customHeight="true" outlineLevel="0" collapsed="false">
      <c r="Y604" s="1"/>
      <c r="Z604" s="1"/>
    </row>
    <row r="605" customFormat="false" ht="12.75" hidden="false" customHeight="true" outlineLevel="0" collapsed="false">
      <c r="Y605" s="1"/>
      <c r="Z605" s="1"/>
    </row>
    <row r="606" customFormat="false" ht="12.75" hidden="false" customHeight="true" outlineLevel="0" collapsed="false">
      <c r="Y606" s="1"/>
      <c r="Z606" s="1"/>
    </row>
    <row r="607" customFormat="false" ht="12.75" hidden="false" customHeight="true" outlineLevel="0" collapsed="false">
      <c r="Y607" s="1"/>
      <c r="Z607" s="1"/>
    </row>
    <row r="608" customFormat="false" ht="12.75" hidden="false" customHeight="true" outlineLevel="0" collapsed="false">
      <c r="Y608" s="1"/>
      <c r="Z608" s="1"/>
    </row>
    <row r="609" customFormat="false" ht="12.75" hidden="false" customHeight="true" outlineLevel="0" collapsed="false">
      <c r="Y609" s="1"/>
      <c r="Z609" s="1"/>
    </row>
    <row r="610" customFormat="false" ht="12.75" hidden="false" customHeight="true" outlineLevel="0" collapsed="false">
      <c r="Y610" s="1"/>
      <c r="Z610" s="1"/>
    </row>
    <row r="611" customFormat="false" ht="12.75" hidden="false" customHeight="true" outlineLevel="0" collapsed="false">
      <c r="Y611" s="1"/>
      <c r="Z611" s="1"/>
    </row>
    <row r="612" customFormat="false" ht="12.75" hidden="false" customHeight="true" outlineLevel="0" collapsed="false">
      <c r="Y612" s="1"/>
      <c r="Z612" s="1"/>
    </row>
    <row r="613" customFormat="false" ht="12.75" hidden="false" customHeight="true" outlineLevel="0" collapsed="false">
      <c r="Y613" s="1"/>
      <c r="Z613" s="1"/>
    </row>
    <row r="614" customFormat="false" ht="12.75" hidden="false" customHeight="true" outlineLevel="0" collapsed="false">
      <c r="Y614" s="1"/>
      <c r="Z614" s="1"/>
    </row>
    <row r="615" customFormat="false" ht="12.75" hidden="false" customHeight="true" outlineLevel="0" collapsed="false">
      <c r="Y615" s="1"/>
      <c r="Z615" s="1"/>
    </row>
    <row r="616" customFormat="false" ht="12.75" hidden="false" customHeight="true" outlineLevel="0" collapsed="false">
      <c r="Y616" s="1"/>
      <c r="Z616" s="1"/>
    </row>
    <row r="617" customFormat="false" ht="12.75" hidden="false" customHeight="true" outlineLevel="0" collapsed="false">
      <c r="Y617" s="1"/>
      <c r="Z617" s="1"/>
    </row>
    <row r="618" customFormat="false" ht="12.75" hidden="false" customHeight="true" outlineLevel="0" collapsed="false">
      <c r="Y618" s="1"/>
      <c r="Z618" s="1"/>
    </row>
    <row r="619" customFormat="false" ht="12.75" hidden="false" customHeight="true" outlineLevel="0" collapsed="false">
      <c r="Y619" s="1"/>
      <c r="Z619" s="1"/>
    </row>
    <row r="620" customFormat="false" ht="12.75" hidden="false" customHeight="true" outlineLevel="0" collapsed="false">
      <c r="Y620" s="1"/>
      <c r="Z620" s="1"/>
    </row>
    <row r="621" customFormat="false" ht="12.75" hidden="false" customHeight="true" outlineLevel="0" collapsed="false">
      <c r="Y621" s="1"/>
      <c r="Z621" s="1"/>
    </row>
    <row r="622" customFormat="false" ht="12.75" hidden="false" customHeight="true" outlineLevel="0" collapsed="false">
      <c r="Y622" s="1"/>
      <c r="Z622" s="1"/>
    </row>
    <row r="623" customFormat="false" ht="12.75" hidden="false" customHeight="true" outlineLevel="0" collapsed="false">
      <c r="Y623" s="1"/>
      <c r="Z623" s="1"/>
    </row>
    <row r="624" customFormat="false" ht="12.75" hidden="false" customHeight="true" outlineLevel="0" collapsed="false">
      <c r="Y624" s="1"/>
      <c r="Z624" s="1"/>
    </row>
    <row r="625" customFormat="false" ht="12.75" hidden="false" customHeight="true" outlineLevel="0" collapsed="false">
      <c r="Y625" s="1"/>
      <c r="Z625" s="1"/>
    </row>
    <row r="626" customFormat="false" ht="12.75" hidden="false" customHeight="true" outlineLevel="0" collapsed="false">
      <c r="Y626" s="1"/>
      <c r="Z626" s="1"/>
    </row>
    <row r="627" customFormat="false" ht="12.75" hidden="false" customHeight="true" outlineLevel="0" collapsed="false">
      <c r="Y627" s="1"/>
      <c r="Z627" s="1"/>
    </row>
    <row r="628" customFormat="false" ht="12.75" hidden="false" customHeight="true" outlineLevel="0" collapsed="false">
      <c r="Y628" s="1"/>
      <c r="Z628" s="1"/>
    </row>
    <row r="629" customFormat="false" ht="12.75" hidden="false" customHeight="true" outlineLevel="0" collapsed="false">
      <c r="Y629" s="1"/>
      <c r="Z629" s="1"/>
    </row>
    <row r="630" customFormat="false" ht="12.75" hidden="false" customHeight="true" outlineLevel="0" collapsed="false">
      <c r="Y630" s="1"/>
      <c r="Z630" s="1"/>
    </row>
    <row r="631" customFormat="false" ht="12.75" hidden="false" customHeight="true" outlineLevel="0" collapsed="false">
      <c r="Y631" s="1"/>
      <c r="Z631" s="1"/>
    </row>
    <row r="632" customFormat="false" ht="12.75" hidden="false" customHeight="true" outlineLevel="0" collapsed="false">
      <c r="Y632" s="1"/>
      <c r="Z632" s="1"/>
    </row>
    <row r="633" customFormat="false" ht="12.75" hidden="false" customHeight="true" outlineLevel="0" collapsed="false">
      <c r="Y633" s="1"/>
      <c r="Z633" s="1"/>
    </row>
    <row r="634" customFormat="false" ht="12.75" hidden="false" customHeight="true" outlineLevel="0" collapsed="false">
      <c r="Y634" s="1"/>
      <c r="Z634" s="1"/>
    </row>
    <row r="635" customFormat="false" ht="12.75" hidden="false" customHeight="true" outlineLevel="0" collapsed="false">
      <c r="Y635" s="1"/>
      <c r="Z635" s="1"/>
    </row>
    <row r="636" customFormat="false" ht="12.75" hidden="false" customHeight="true" outlineLevel="0" collapsed="false">
      <c r="Y636" s="1"/>
      <c r="Z636" s="1"/>
    </row>
    <row r="637" customFormat="false" ht="12.75" hidden="false" customHeight="true" outlineLevel="0" collapsed="false">
      <c r="Y637" s="1"/>
      <c r="Z637" s="1"/>
    </row>
    <row r="638" customFormat="false" ht="12.75" hidden="false" customHeight="true" outlineLevel="0" collapsed="false">
      <c r="Y638" s="1"/>
      <c r="Z638" s="1"/>
    </row>
    <row r="639" customFormat="false" ht="12.75" hidden="false" customHeight="true" outlineLevel="0" collapsed="false">
      <c r="Y639" s="1"/>
      <c r="Z639" s="1"/>
    </row>
    <row r="640" customFormat="false" ht="12.75" hidden="false" customHeight="true" outlineLevel="0" collapsed="false">
      <c r="Y640" s="1"/>
      <c r="Z640" s="1"/>
    </row>
    <row r="641" customFormat="false" ht="12.75" hidden="false" customHeight="true" outlineLevel="0" collapsed="false">
      <c r="Y641" s="1"/>
      <c r="Z641" s="1"/>
    </row>
    <row r="642" customFormat="false" ht="12.75" hidden="false" customHeight="true" outlineLevel="0" collapsed="false">
      <c r="Y642" s="1"/>
      <c r="Z642" s="1"/>
    </row>
    <row r="643" customFormat="false" ht="12.75" hidden="false" customHeight="true" outlineLevel="0" collapsed="false">
      <c r="Y643" s="1"/>
      <c r="Z643" s="1"/>
    </row>
    <row r="644" customFormat="false" ht="12.75" hidden="false" customHeight="true" outlineLevel="0" collapsed="false">
      <c r="Y644" s="1"/>
      <c r="Z644" s="1"/>
    </row>
    <row r="645" customFormat="false" ht="12.75" hidden="false" customHeight="true" outlineLevel="0" collapsed="false">
      <c r="Y645" s="1"/>
      <c r="Z645" s="1"/>
    </row>
    <row r="646" customFormat="false" ht="12.75" hidden="false" customHeight="true" outlineLevel="0" collapsed="false">
      <c r="Y646" s="1"/>
      <c r="Z646" s="1"/>
    </row>
    <row r="647" customFormat="false" ht="12.75" hidden="false" customHeight="true" outlineLevel="0" collapsed="false">
      <c r="Y647" s="1"/>
      <c r="Z647" s="1"/>
    </row>
    <row r="648" customFormat="false" ht="12.75" hidden="false" customHeight="true" outlineLevel="0" collapsed="false">
      <c r="Y648" s="1"/>
      <c r="Z648" s="1"/>
    </row>
    <row r="649" customFormat="false" ht="12.75" hidden="false" customHeight="true" outlineLevel="0" collapsed="false">
      <c r="Y649" s="1"/>
      <c r="Z649" s="1"/>
    </row>
    <row r="650" customFormat="false" ht="12.75" hidden="false" customHeight="true" outlineLevel="0" collapsed="false">
      <c r="Y650" s="1"/>
      <c r="Z650" s="1"/>
    </row>
    <row r="651" customFormat="false" ht="12.75" hidden="false" customHeight="true" outlineLevel="0" collapsed="false">
      <c r="Y651" s="1"/>
      <c r="Z651" s="1"/>
    </row>
    <row r="652" customFormat="false" ht="12.75" hidden="false" customHeight="true" outlineLevel="0" collapsed="false">
      <c r="Y652" s="1"/>
      <c r="Z652" s="1"/>
    </row>
    <row r="653" customFormat="false" ht="12.75" hidden="false" customHeight="true" outlineLevel="0" collapsed="false">
      <c r="Y653" s="1"/>
      <c r="Z653" s="1"/>
    </row>
    <row r="654" customFormat="false" ht="12.75" hidden="false" customHeight="true" outlineLevel="0" collapsed="false">
      <c r="Y654" s="1"/>
      <c r="Z654" s="1"/>
    </row>
    <row r="655" customFormat="false" ht="12.75" hidden="false" customHeight="true" outlineLevel="0" collapsed="false">
      <c r="Y655" s="1"/>
      <c r="Z655" s="1"/>
    </row>
    <row r="656" customFormat="false" ht="12.75" hidden="false" customHeight="true" outlineLevel="0" collapsed="false">
      <c r="Y656" s="1"/>
      <c r="Z656" s="1"/>
    </row>
    <row r="657" customFormat="false" ht="12.75" hidden="false" customHeight="true" outlineLevel="0" collapsed="false">
      <c r="Y657" s="1"/>
      <c r="Z657" s="1"/>
    </row>
    <row r="658" customFormat="false" ht="12.75" hidden="false" customHeight="true" outlineLevel="0" collapsed="false">
      <c r="Y658" s="1"/>
      <c r="Z658" s="1"/>
    </row>
    <row r="659" customFormat="false" ht="12.75" hidden="false" customHeight="true" outlineLevel="0" collapsed="false">
      <c r="Y659" s="1"/>
      <c r="Z659" s="1"/>
    </row>
    <row r="660" customFormat="false" ht="12.75" hidden="false" customHeight="true" outlineLevel="0" collapsed="false">
      <c r="Y660" s="1"/>
      <c r="Z660" s="1"/>
    </row>
    <row r="661" customFormat="false" ht="12.75" hidden="false" customHeight="true" outlineLevel="0" collapsed="false">
      <c r="Y661" s="1"/>
      <c r="Z661" s="1"/>
    </row>
    <row r="662" customFormat="false" ht="12.75" hidden="false" customHeight="true" outlineLevel="0" collapsed="false">
      <c r="Y662" s="1"/>
      <c r="Z662" s="1"/>
    </row>
    <row r="663" customFormat="false" ht="12.75" hidden="false" customHeight="true" outlineLevel="0" collapsed="false">
      <c r="Y663" s="1"/>
      <c r="Z663" s="1"/>
    </row>
    <row r="664" customFormat="false" ht="12.75" hidden="false" customHeight="true" outlineLevel="0" collapsed="false">
      <c r="Y664" s="1"/>
      <c r="Z664" s="1"/>
    </row>
    <row r="665" customFormat="false" ht="12.75" hidden="false" customHeight="true" outlineLevel="0" collapsed="false">
      <c r="Y665" s="1"/>
      <c r="Z665" s="1"/>
    </row>
    <row r="666" customFormat="false" ht="12.75" hidden="false" customHeight="true" outlineLevel="0" collapsed="false">
      <c r="Y666" s="1"/>
      <c r="Z666" s="1"/>
    </row>
    <row r="667" customFormat="false" ht="12.75" hidden="false" customHeight="true" outlineLevel="0" collapsed="false">
      <c r="Y667" s="1"/>
      <c r="Z667" s="1"/>
    </row>
    <row r="668" customFormat="false" ht="12.75" hidden="false" customHeight="true" outlineLevel="0" collapsed="false">
      <c r="Y668" s="1"/>
      <c r="Z668" s="1"/>
    </row>
    <row r="669" customFormat="false" ht="12.75" hidden="false" customHeight="true" outlineLevel="0" collapsed="false">
      <c r="Y669" s="1"/>
      <c r="Z669" s="1"/>
    </row>
    <row r="670" customFormat="false" ht="12.75" hidden="false" customHeight="true" outlineLevel="0" collapsed="false">
      <c r="Y670" s="1"/>
      <c r="Z670" s="1"/>
    </row>
    <row r="671" customFormat="false" ht="12.75" hidden="false" customHeight="true" outlineLevel="0" collapsed="false">
      <c r="Y671" s="1"/>
      <c r="Z671" s="1"/>
    </row>
    <row r="672" customFormat="false" ht="12.75" hidden="false" customHeight="true" outlineLevel="0" collapsed="false">
      <c r="Y672" s="1"/>
      <c r="Z672" s="1"/>
    </row>
    <row r="673" customFormat="false" ht="12.75" hidden="false" customHeight="true" outlineLevel="0" collapsed="false">
      <c r="Y673" s="1"/>
      <c r="Z673" s="1"/>
    </row>
    <row r="674" customFormat="false" ht="12.75" hidden="false" customHeight="true" outlineLevel="0" collapsed="false">
      <c r="Y674" s="1"/>
      <c r="Z674" s="1"/>
    </row>
    <row r="675" customFormat="false" ht="12.75" hidden="false" customHeight="true" outlineLevel="0" collapsed="false">
      <c r="Y675" s="1"/>
      <c r="Z675" s="1"/>
    </row>
    <row r="676" customFormat="false" ht="12.75" hidden="false" customHeight="true" outlineLevel="0" collapsed="false">
      <c r="Y676" s="1"/>
      <c r="Z676" s="1"/>
    </row>
    <row r="677" customFormat="false" ht="12.75" hidden="false" customHeight="true" outlineLevel="0" collapsed="false">
      <c r="Y677" s="1"/>
      <c r="Z677" s="1"/>
    </row>
    <row r="678" customFormat="false" ht="12.75" hidden="false" customHeight="true" outlineLevel="0" collapsed="false">
      <c r="Y678" s="1"/>
      <c r="Z678" s="1"/>
    </row>
    <row r="679" customFormat="false" ht="12.75" hidden="false" customHeight="true" outlineLevel="0" collapsed="false">
      <c r="Y679" s="1"/>
      <c r="Z679" s="1"/>
    </row>
    <row r="680" customFormat="false" ht="12.75" hidden="false" customHeight="true" outlineLevel="0" collapsed="false">
      <c r="Y680" s="1"/>
      <c r="Z680" s="1"/>
    </row>
    <row r="681" customFormat="false" ht="12.75" hidden="false" customHeight="true" outlineLevel="0" collapsed="false">
      <c r="Y681" s="1"/>
      <c r="Z681" s="1"/>
    </row>
    <row r="682" customFormat="false" ht="12.75" hidden="false" customHeight="true" outlineLevel="0" collapsed="false">
      <c r="Y682" s="1"/>
      <c r="Z682" s="1"/>
    </row>
    <row r="683" customFormat="false" ht="12.75" hidden="false" customHeight="true" outlineLevel="0" collapsed="false">
      <c r="Y683" s="1"/>
      <c r="Z683" s="1"/>
    </row>
    <row r="684" customFormat="false" ht="12.75" hidden="false" customHeight="true" outlineLevel="0" collapsed="false">
      <c r="Y684" s="1"/>
      <c r="Z684" s="1"/>
    </row>
    <row r="685" customFormat="false" ht="12.75" hidden="false" customHeight="true" outlineLevel="0" collapsed="false">
      <c r="Y685" s="1"/>
      <c r="Z685" s="1"/>
    </row>
    <row r="686" customFormat="false" ht="12.75" hidden="false" customHeight="true" outlineLevel="0" collapsed="false">
      <c r="Y686" s="1"/>
      <c r="Z686" s="1"/>
    </row>
    <row r="687" customFormat="false" ht="12.75" hidden="false" customHeight="true" outlineLevel="0" collapsed="false">
      <c r="Y687" s="1"/>
      <c r="Z687" s="1"/>
    </row>
    <row r="688" customFormat="false" ht="12.75" hidden="false" customHeight="true" outlineLevel="0" collapsed="false">
      <c r="Y688" s="1"/>
      <c r="Z688" s="1"/>
    </row>
    <row r="689" customFormat="false" ht="12.75" hidden="false" customHeight="true" outlineLevel="0" collapsed="false">
      <c r="Y689" s="1"/>
      <c r="Z689" s="1"/>
    </row>
    <row r="690" customFormat="false" ht="12.75" hidden="false" customHeight="true" outlineLevel="0" collapsed="false">
      <c r="Y690" s="1"/>
      <c r="Z690" s="1"/>
    </row>
    <row r="691" customFormat="false" ht="12.75" hidden="false" customHeight="true" outlineLevel="0" collapsed="false">
      <c r="Y691" s="1"/>
      <c r="Z691" s="1"/>
    </row>
    <row r="692" customFormat="false" ht="12.75" hidden="false" customHeight="true" outlineLevel="0" collapsed="false">
      <c r="Y692" s="1"/>
      <c r="Z692" s="1"/>
    </row>
    <row r="693" customFormat="false" ht="12.75" hidden="false" customHeight="true" outlineLevel="0" collapsed="false">
      <c r="Y693" s="1"/>
      <c r="Z693" s="1"/>
    </row>
    <row r="694" customFormat="false" ht="12.75" hidden="false" customHeight="true" outlineLevel="0" collapsed="false">
      <c r="Y694" s="1"/>
      <c r="Z694" s="1"/>
    </row>
    <row r="695" customFormat="false" ht="12.75" hidden="false" customHeight="true" outlineLevel="0" collapsed="false">
      <c r="Y695" s="1"/>
      <c r="Z695" s="1"/>
    </row>
    <row r="696" customFormat="false" ht="12.75" hidden="false" customHeight="true" outlineLevel="0" collapsed="false">
      <c r="Y696" s="1"/>
      <c r="Z696" s="1"/>
    </row>
    <row r="697" customFormat="false" ht="12.75" hidden="false" customHeight="true" outlineLevel="0" collapsed="false">
      <c r="Y697" s="1"/>
      <c r="Z697" s="1"/>
    </row>
    <row r="698" customFormat="false" ht="12.75" hidden="false" customHeight="true" outlineLevel="0" collapsed="false">
      <c r="Y698" s="1"/>
      <c r="Z698" s="1"/>
    </row>
    <row r="699" customFormat="false" ht="12.75" hidden="false" customHeight="true" outlineLevel="0" collapsed="false">
      <c r="Y699" s="1"/>
      <c r="Z699" s="1"/>
    </row>
    <row r="700" customFormat="false" ht="12.75" hidden="false" customHeight="true" outlineLevel="0" collapsed="false">
      <c r="Y700" s="1"/>
      <c r="Z700" s="1"/>
    </row>
    <row r="701" customFormat="false" ht="12.75" hidden="false" customHeight="true" outlineLevel="0" collapsed="false">
      <c r="Y701" s="1"/>
      <c r="Z701" s="1"/>
    </row>
    <row r="702" customFormat="false" ht="12.75" hidden="false" customHeight="true" outlineLevel="0" collapsed="false">
      <c r="Y702" s="1"/>
      <c r="Z702" s="1"/>
    </row>
    <row r="703" customFormat="false" ht="12.75" hidden="false" customHeight="true" outlineLevel="0" collapsed="false">
      <c r="Y703" s="1"/>
      <c r="Z703" s="1"/>
    </row>
    <row r="704" customFormat="false" ht="12.75" hidden="false" customHeight="true" outlineLevel="0" collapsed="false">
      <c r="Y704" s="1"/>
      <c r="Z704" s="1"/>
    </row>
    <row r="705" customFormat="false" ht="12.75" hidden="false" customHeight="true" outlineLevel="0" collapsed="false">
      <c r="Y705" s="1"/>
      <c r="Z705" s="1"/>
    </row>
    <row r="706" customFormat="false" ht="12.75" hidden="false" customHeight="true" outlineLevel="0" collapsed="false">
      <c r="Y706" s="1"/>
      <c r="Z706" s="1"/>
    </row>
    <row r="707" customFormat="false" ht="12.75" hidden="false" customHeight="true" outlineLevel="0" collapsed="false">
      <c r="Y707" s="1"/>
      <c r="Z707" s="1"/>
    </row>
    <row r="708" customFormat="false" ht="12.75" hidden="false" customHeight="true" outlineLevel="0" collapsed="false">
      <c r="Y708" s="1"/>
      <c r="Z708" s="1"/>
    </row>
    <row r="709" customFormat="false" ht="12.75" hidden="false" customHeight="true" outlineLevel="0" collapsed="false">
      <c r="Y709" s="1"/>
      <c r="Z709" s="1"/>
    </row>
    <row r="710" customFormat="false" ht="12.75" hidden="false" customHeight="true" outlineLevel="0" collapsed="false">
      <c r="Y710" s="1"/>
      <c r="Z710" s="1"/>
    </row>
    <row r="711" customFormat="false" ht="12.75" hidden="false" customHeight="true" outlineLevel="0" collapsed="false">
      <c r="Y711" s="1"/>
      <c r="Z711" s="1"/>
    </row>
    <row r="712" customFormat="false" ht="12.75" hidden="false" customHeight="true" outlineLevel="0" collapsed="false">
      <c r="Y712" s="1"/>
      <c r="Z712" s="1"/>
    </row>
    <row r="713" customFormat="false" ht="12.75" hidden="false" customHeight="true" outlineLevel="0" collapsed="false">
      <c r="Y713" s="1"/>
      <c r="Z713" s="1"/>
    </row>
    <row r="714" customFormat="false" ht="12.75" hidden="false" customHeight="true" outlineLevel="0" collapsed="false">
      <c r="Y714" s="1"/>
      <c r="Z714" s="1"/>
    </row>
    <row r="715" customFormat="false" ht="12.75" hidden="false" customHeight="true" outlineLevel="0" collapsed="false">
      <c r="Y715" s="1"/>
      <c r="Z715" s="1"/>
    </row>
    <row r="716" customFormat="false" ht="12.75" hidden="false" customHeight="true" outlineLevel="0" collapsed="false">
      <c r="Y716" s="1"/>
      <c r="Z716" s="1"/>
    </row>
    <row r="717" customFormat="false" ht="12.75" hidden="false" customHeight="true" outlineLevel="0" collapsed="false">
      <c r="Y717" s="1"/>
      <c r="Z717" s="1"/>
    </row>
    <row r="718" customFormat="false" ht="12.75" hidden="false" customHeight="true" outlineLevel="0" collapsed="false">
      <c r="Y718" s="1"/>
      <c r="Z718" s="1"/>
    </row>
    <row r="719" customFormat="false" ht="12.75" hidden="false" customHeight="true" outlineLevel="0" collapsed="false">
      <c r="Y719" s="1"/>
      <c r="Z719" s="1"/>
    </row>
    <row r="720" customFormat="false" ht="12.75" hidden="false" customHeight="true" outlineLevel="0" collapsed="false">
      <c r="Y720" s="1"/>
      <c r="Z720" s="1"/>
    </row>
    <row r="721" customFormat="false" ht="12.75" hidden="false" customHeight="true" outlineLevel="0" collapsed="false">
      <c r="Y721" s="1"/>
      <c r="Z721" s="1"/>
    </row>
    <row r="722" customFormat="false" ht="12.75" hidden="false" customHeight="true" outlineLevel="0" collapsed="false">
      <c r="Y722" s="1"/>
      <c r="Z722" s="1"/>
    </row>
    <row r="723" customFormat="false" ht="12.75" hidden="false" customHeight="true" outlineLevel="0" collapsed="false">
      <c r="Y723" s="1"/>
      <c r="Z723" s="1"/>
    </row>
    <row r="724" customFormat="false" ht="12.75" hidden="false" customHeight="true" outlineLevel="0" collapsed="false">
      <c r="Y724" s="1"/>
      <c r="Z724" s="1"/>
    </row>
    <row r="725" customFormat="false" ht="12.75" hidden="false" customHeight="true" outlineLevel="0" collapsed="false">
      <c r="Y725" s="1"/>
      <c r="Z725" s="1"/>
    </row>
    <row r="726" customFormat="false" ht="12.75" hidden="false" customHeight="true" outlineLevel="0" collapsed="false">
      <c r="Y726" s="1"/>
      <c r="Z726" s="1"/>
    </row>
    <row r="727" customFormat="false" ht="12.75" hidden="false" customHeight="true" outlineLevel="0" collapsed="false">
      <c r="Y727" s="1"/>
      <c r="Z727" s="1"/>
    </row>
    <row r="728" customFormat="false" ht="12.75" hidden="false" customHeight="true" outlineLevel="0" collapsed="false">
      <c r="Y728" s="1"/>
      <c r="Z728" s="1"/>
    </row>
    <row r="729" customFormat="false" ht="12.75" hidden="false" customHeight="true" outlineLevel="0" collapsed="false">
      <c r="Y729" s="1"/>
      <c r="Z729" s="1"/>
    </row>
    <row r="730" customFormat="false" ht="12.75" hidden="false" customHeight="true" outlineLevel="0" collapsed="false">
      <c r="Y730" s="1"/>
      <c r="Z730" s="1"/>
    </row>
    <row r="731" customFormat="false" ht="12.75" hidden="false" customHeight="true" outlineLevel="0" collapsed="false">
      <c r="Y731" s="1"/>
      <c r="Z731" s="1"/>
    </row>
    <row r="732" customFormat="false" ht="12.75" hidden="false" customHeight="true" outlineLevel="0" collapsed="false">
      <c r="Y732" s="1"/>
      <c r="Z732" s="1"/>
    </row>
    <row r="733" customFormat="false" ht="12.75" hidden="false" customHeight="true" outlineLevel="0" collapsed="false">
      <c r="Y733" s="1"/>
      <c r="Z733" s="1"/>
    </row>
    <row r="734" customFormat="false" ht="12.75" hidden="false" customHeight="true" outlineLevel="0" collapsed="false">
      <c r="Y734" s="1"/>
      <c r="Z734" s="1"/>
    </row>
    <row r="735" customFormat="false" ht="12.75" hidden="false" customHeight="true" outlineLevel="0" collapsed="false">
      <c r="Y735" s="1"/>
      <c r="Z735" s="1"/>
    </row>
    <row r="736" customFormat="false" ht="12.75" hidden="false" customHeight="true" outlineLevel="0" collapsed="false">
      <c r="Y736" s="1"/>
      <c r="Z736" s="1"/>
    </row>
    <row r="737" customFormat="false" ht="12.75" hidden="false" customHeight="true" outlineLevel="0" collapsed="false">
      <c r="Y737" s="1"/>
      <c r="Z737" s="1"/>
    </row>
    <row r="738" customFormat="false" ht="12.75" hidden="false" customHeight="true" outlineLevel="0" collapsed="false">
      <c r="Y738" s="1"/>
      <c r="Z738" s="1"/>
    </row>
    <row r="739" customFormat="false" ht="12.75" hidden="false" customHeight="true" outlineLevel="0" collapsed="false">
      <c r="Y739" s="1"/>
      <c r="Z739" s="1"/>
    </row>
    <row r="740" customFormat="false" ht="12.75" hidden="false" customHeight="true" outlineLevel="0" collapsed="false">
      <c r="Y740" s="1"/>
      <c r="Z740" s="1"/>
    </row>
    <row r="741" customFormat="false" ht="12.75" hidden="false" customHeight="true" outlineLevel="0" collapsed="false">
      <c r="Y741" s="1"/>
      <c r="Z741" s="1"/>
    </row>
    <row r="742" customFormat="false" ht="12.75" hidden="false" customHeight="true" outlineLevel="0" collapsed="false">
      <c r="Y742" s="1"/>
      <c r="Z742" s="1"/>
    </row>
    <row r="743" customFormat="false" ht="12.75" hidden="false" customHeight="true" outlineLevel="0" collapsed="false">
      <c r="Y743" s="1"/>
      <c r="Z743" s="1"/>
    </row>
    <row r="744" customFormat="false" ht="12.75" hidden="false" customHeight="true" outlineLevel="0" collapsed="false">
      <c r="Y744" s="1"/>
      <c r="Z744" s="1"/>
    </row>
    <row r="745" customFormat="false" ht="12.75" hidden="false" customHeight="true" outlineLevel="0" collapsed="false">
      <c r="Y745" s="1"/>
      <c r="Z745" s="1"/>
    </row>
    <row r="746" customFormat="false" ht="12.75" hidden="false" customHeight="true" outlineLevel="0" collapsed="false">
      <c r="Y746" s="1"/>
      <c r="Z746" s="1"/>
    </row>
    <row r="747" customFormat="false" ht="12.75" hidden="false" customHeight="true" outlineLevel="0" collapsed="false">
      <c r="Y747" s="1"/>
      <c r="Z747" s="1"/>
    </row>
    <row r="748" customFormat="false" ht="12.75" hidden="false" customHeight="true" outlineLevel="0" collapsed="false">
      <c r="Y748" s="1"/>
      <c r="Z748" s="1"/>
    </row>
    <row r="749" customFormat="false" ht="12.75" hidden="false" customHeight="true" outlineLevel="0" collapsed="false">
      <c r="Y749" s="1"/>
      <c r="Z749" s="1"/>
    </row>
    <row r="750" customFormat="false" ht="12.75" hidden="false" customHeight="true" outlineLevel="0" collapsed="false">
      <c r="Y750" s="1"/>
      <c r="Z750" s="1"/>
    </row>
    <row r="751" customFormat="false" ht="12.75" hidden="false" customHeight="true" outlineLevel="0" collapsed="false">
      <c r="Y751" s="1"/>
      <c r="Z751" s="1"/>
    </row>
    <row r="752" customFormat="false" ht="12.75" hidden="false" customHeight="true" outlineLevel="0" collapsed="false">
      <c r="Y752" s="1"/>
      <c r="Z752" s="1"/>
    </row>
    <row r="753" customFormat="false" ht="12.75" hidden="false" customHeight="true" outlineLevel="0" collapsed="false">
      <c r="Y753" s="1"/>
      <c r="Z753" s="1"/>
    </row>
    <row r="754" customFormat="false" ht="12.75" hidden="false" customHeight="true" outlineLevel="0" collapsed="false">
      <c r="Y754" s="1"/>
      <c r="Z754" s="1"/>
    </row>
    <row r="755" customFormat="false" ht="12.75" hidden="false" customHeight="true" outlineLevel="0" collapsed="false">
      <c r="Y755" s="1"/>
      <c r="Z755" s="1"/>
    </row>
    <row r="756" customFormat="false" ht="12.75" hidden="false" customHeight="true" outlineLevel="0" collapsed="false">
      <c r="Y756" s="1"/>
      <c r="Z756" s="1"/>
    </row>
    <row r="757" customFormat="false" ht="12.75" hidden="false" customHeight="true" outlineLevel="0" collapsed="false">
      <c r="Y757" s="1"/>
      <c r="Z757" s="1"/>
    </row>
    <row r="758" customFormat="false" ht="12.75" hidden="false" customHeight="true" outlineLevel="0" collapsed="false">
      <c r="Y758" s="1"/>
      <c r="Z758" s="1"/>
    </row>
    <row r="759" customFormat="false" ht="12.75" hidden="false" customHeight="true" outlineLevel="0" collapsed="false">
      <c r="Y759" s="1"/>
      <c r="Z759" s="1"/>
    </row>
    <row r="760" customFormat="false" ht="12.75" hidden="false" customHeight="true" outlineLevel="0" collapsed="false">
      <c r="Y760" s="1"/>
      <c r="Z760" s="1"/>
    </row>
    <row r="761" customFormat="false" ht="12.75" hidden="false" customHeight="true" outlineLevel="0" collapsed="false">
      <c r="Y761" s="1"/>
      <c r="Z761" s="1"/>
    </row>
    <row r="762" customFormat="false" ht="12.75" hidden="false" customHeight="true" outlineLevel="0" collapsed="false">
      <c r="Y762" s="1"/>
      <c r="Z762" s="1"/>
    </row>
    <row r="763" customFormat="false" ht="12.75" hidden="false" customHeight="true" outlineLevel="0" collapsed="false">
      <c r="Y763" s="1"/>
      <c r="Z763" s="1"/>
    </row>
    <row r="764" customFormat="false" ht="12.75" hidden="false" customHeight="true" outlineLevel="0" collapsed="false">
      <c r="Y764" s="1"/>
      <c r="Z764" s="1"/>
    </row>
    <row r="765" customFormat="false" ht="12.75" hidden="false" customHeight="true" outlineLevel="0" collapsed="false">
      <c r="Y765" s="1"/>
      <c r="Z765" s="1"/>
    </row>
    <row r="766" customFormat="false" ht="12.75" hidden="false" customHeight="true" outlineLevel="0" collapsed="false">
      <c r="Y766" s="1"/>
      <c r="Z766" s="1"/>
    </row>
    <row r="767" customFormat="false" ht="12.75" hidden="false" customHeight="true" outlineLevel="0" collapsed="false">
      <c r="Y767" s="1"/>
      <c r="Z767" s="1"/>
    </row>
    <row r="768" customFormat="false" ht="12.75" hidden="false" customHeight="true" outlineLevel="0" collapsed="false">
      <c r="Y768" s="1"/>
      <c r="Z768" s="1"/>
    </row>
    <row r="769" customFormat="false" ht="12.75" hidden="false" customHeight="true" outlineLevel="0" collapsed="false">
      <c r="Y769" s="1"/>
      <c r="Z769" s="1"/>
    </row>
    <row r="770" customFormat="false" ht="12.75" hidden="false" customHeight="true" outlineLevel="0" collapsed="false">
      <c r="Y770" s="1"/>
      <c r="Z770" s="1"/>
    </row>
    <row r="771" customFormat="false" ht="12.75" hidden="false" customHeight="true" outlineLevel="0" collapsed="false">
      <c r="Y771" s="1"/>
      <c r="Z771" s="1"/>
    </row>
    <row r="772" customFormat="false" ht="12.75" hidden="false" customHeight="true" outlineLevel="0" collapsed="false">
      <c r="Y772" s="1"/>
      <c r="Z772" s="1"/>
    </row>
    <row r="773" customFormat="false" ht="12.75" hidden="false" customHeight="true" outlineLevel="0" collapsed="false">
      <c r="Y773" s="1"/>
      <c r="Z773" s="1"/>
    </row>
    <row r="774" customFormat="false" ht="12.75" hidden="false" customHeight="true" outlineLevel="0" collapsed="false">
      <c r="Y774" s="1"/>
      <c r="Z774" s="1"/>
    </row>
    <row r="775" customFormat="false" ht="12.75" hidden="false" customHeight="true" outlineLevel="0" collapsed="false">
      <c r="Y775" s="1"/>
      <c r="Z775" s="1"/>
    </row>
    <row r="776" customFormat="false" ht="12.75" hidden="false" customHeight="true" outlineLevel="0" collapsed="false">
      <c r="Y776" s="1"/>
      <c r="Z776" s="1"/>
    </row>
    <row r="777" customFormat="false" ht="12.75" hidden="false" customHeight="true" outlineLevel="0" collapsed="false">
      <c r="Y777" s="1"/>
      <c r="Z777" s="1"/>
    </row>
    <row r="778" customFormat="false" ht="12.75" hidden="false" customHeight="true" outlineLevel="0" collapsed="false">
      <c r="Y778" s="1"/>
      <c r="Z778" s="1"/>
    </row>
    <row r="779" customFormat="false" ht="12.75" hidden="false" customHeight="true" outlineLevel="0" collapsed="false">
      <c r="Y779" s="1"/>
      <c r="Z779" s="1"/>
    </row>
    <row r="780" customFormat="false" ht="12.75" hidden="false" customHeight="true" outlineLevel="0" collapsed="false">
      <c r="Y780" s="1"/>
      <c r="Z780" s="1"/>
    </row>
    <row r="781" customFormat="false" ht="12.75" hidden="false" customHeight="true" outlineLevel="0" collapsed="false">
      <c r="Y781" s="1"/>
      <c r="Z781" s="1"/>
    </row>
    <row r="782" customFormat="false" ht="12.75" hidden="false" customHeight="true" outlineLevel="0" collapsed="false">
      <c r="Y782" s="1"/>
      <c r="Z782" s="1"/>
    </row>
    <row r="783" customFormat="false" ht="12.75" hidden="false" customHeight="true" outlineLevel="0" collapsed="false">
      <c r="Y783" s="1"/>
      <c r="Z783" s="1"/>
    </row>
    <row r="784" customFormat="false" ht="12.75" hidden="false" customHeight="true" outlineLevel="0" collapsed="false">
      <c r="Y784" s="1"/>
      <c r="Z784" s="1"/>
    </row>
    <row r="785" customFormat="false" ht="12.75" hidden="false" customHeight="true" outlineLevel="0" collapsed="false">
      <c r="Y785" s="1"/>
      <c r="Z785" s="1"/>
    </row>
    <row r="786" customFormat="false" ht="12.75" hidden="false" customHeight="true" outlineLevel="0" collapsed="false">
      <c r="Y786" s="1"/>
      <c r="Z786" s="1"/>
    </row>
    <row r="787" customFormat="false" ht="12.75" hidden="false" customHeight="true" outlineLevel="0" collapsed="false">
      <c r="Y787" s="1"/>
      <c r="Z787" s="1"/>
    </row>
    <row r="788" customFormat="false" ht="12.75" hidden="false" customHeight="true" outlineLevel="0" collapsed="false">
      <c r="Y788" s="1"/>
      <c r="Z788" s="1"/>
    </row>
    <row r="789" customFormat="false" ht="12.75" hidden="false" customHeight="true" outlineLevel="0" collapsed="false">
      <c r="Y789" s="1"/>
      <c r="Z789" s="1"/>
    </row>
    <row r="790" customFormat="false" ht="12.75" hidden="false" customHeight="true" outlineLevel="0" collapsed="false">
      <c r="Y790" s="1"/>
      <c r="Z790" s="1"/>
    </row>
    <row r="791" customFormat="false" ht="12.75" hidden="false" customHeight="true" outlineLevel="0" collapsed="false">
      <c r="Y791" s="1"/>
      <c r="Z791" s="1"/>
    </row>
    <row r="792" customFormat="false" ht="12.75" hidden="false" customHeight="true" outlineLevel="0" collapsed="false">
      <c r="Y792" s="1"/>
      <c r="Z792" s="1"/>
    </row>
    <row r="793" customFormat="false" ht="12.75" hidden="false" customHeight="true" outlineLevel="0" collapsed="false">
      <c r="Y793" s="1"/>
      <c r="Z793" s="1"/>
    </row>
    <row r="794" customFormat="false" ht="12.75" hidden="false" customHeight="true" outlineLevel="0" collapsed="false">
      <c r="Y794" s="1"/>
      <c r="Z794" s="1"/>
    </row>
    <row r="795" customFormat="false" ht="12.75" hidden="false" customHeight="true" outlineLevel="0" collapsed="false">
      <c r="Y795" s="1"/>
      <c r="Z795" s="1"/>
    </row>
    <row r="796" customFormat="false" ht="12.75" hidden="false" customHeight="true" outlineLevel="0" collapsed="false">
      <c r="Y796" s="1"/>
      <c r="Z796" s="1"/>
    </row>
    <row r="797" customFormat="false" ht="12.75" hidden="false" customHeight="true" outlineLevel="0" collapsed="false">
      <c r="Y797" s="1"/>
      <c r="Z797" s="1"/>
    </row>
    <row r="798" customFormat="false" ht="12.75" hidden="false" customHeight="true" outlineLevel="0" collapsed="false">
      <c r="Y798" s="1"/>
      <c r="Z798" s="1"/>
    </row>
    <row r="799" customFormat="false" ht="12.75" hidden="false" customHeight="true" outlineLevel="0" collapsed="false">
      <c r="Y799" s="1"/>
      <c r="Z799" s="1"/>
    </row>
    <row r="800" customFormat="false" ht="12.75" hidden="false" customHeight="true" outlineLevel="0" collapsed="false">
      <c r="Y800" s="1"/>
      <c r="Z800" s="1"/>
    </row>
    <row r="801" customFormat="false" ht="12.75" hidden="false" customHeight="true" outlineLevel="0" collapsed="false">
      <c r="Y801" s="1"/>
      <c r="Z801" s="1"/>
    </row>
    <row r="802" customFormat="false" ht="12.75" hidden="false" customHeight="true" outlineLevel="0" collapsed="false">
      <c r="Y802" s="1"/>
      <c r="Z802" s="1"/>
    </row>
    <row r="803" customFormat="false" ht="12.75" hidden="false" customHeight="true" outlineLevel="0" collapsed="false">
      <c r="Y803" s="1"/>
      <c r="Z803" s="1"/>
    </row>
    <row r="804" customFormat="false" ht="12.75" hidden="false" customHeight="true" outlineLevel="0" collapsed="false">
      <c r="Y804" s="1"/>
      <c r="Z804" s="1"/>
    </row>
    <row r="805" customFormat="false" ht="12.75" hidden="false" customHeight="true" outlineLevel="0" collapsed="false">
      <c r="Y805" s="1"/>
      <c r="Z805" s="1"/>
    </row>
    <row r="806" customFormat="false" ht="12.75" hidden="false" customHeight="true" outlineLevel="0" collapsed="false">
      <c r="Y806" s="1"/>
      <c r="Z806" s="1"/>
    </row>
    <row r="807" customFormat="false" ht="12.75" hidden="false" customHeight="true" outlineLevel="0" collapsed="false">
      <c r="Y807" s="1"/>
      <c r="Z807" s="1"/>
    </row>
    <row r="808" customFormat="false" ht="12.75" hidden="false" customHeight="true" outlineLevel="0" collapsed="false">
      <c r="Y808" s="1"/>
      <c r="Z808" s="1"/>
    </row>
    <row r="809" customFormat="false" ht="12.75" hidden="false" customHeight="true" outlineLevel="0" collapsed="false">
      <c r="Y809" s="1"/>
      <c r="Z809" s="1"/>
    </row>
    <row r="810" customFormat="false" ht="12.75" hidden="false" customHeight="true" outlineLevel="0" collapsed="false">
      <c r="Y810" s="1"/>
      <c r="Z810" s="1"/>
    </row>
    <row r="811" customFormat="false" ht="12.75" hidden="false" customHeight="true" outlineLevel="0" collapsed="false">
      <c r="Y811" s="1"/>
      <c r="Z811" s="1"/>
    </row>
    <row r="812" customFormat="false" ht="12.75" hidden="false" customHeight="true" outlineLevel="0" collapsed="false">
      <c r="Y812" s="1"/>
      <c r="Z812" s="1"/>
    </row>
    <row r="813" customFormat="false" ht="12.75" hidden="false" customHeight="true" outlineLevel="0" collapsed="false">
      <c r="Y813" s="1"/>
      <c r="Z813" s="1"/>
    </row>
    <row r="814" customFormat="false" ht="12.75" hidden="false" customHeight="true" outlineLevel="0" collapsed="false">
      <c r="Y814" s="1"/>
      <c r="Z814" s="1"/>
    </row>
    <row r="815" customFormat="false" ht="12.75" hidden="false" customHeight="true" outlineLevel="0" collapsed="false">
      <c r="Y815" s="1"/>
      <c r="Z815" s="1"/>
    </row>
    <row r="816" customFormat="false" ht="12.75" hidden="false" customHeight="true" outlineLevel="0" collapsed="false">
      <c r="Y816" s="1"/>
      <c r="Z816" s="1"/>
    </row>
    <row r="817" customFormat="false" ht="12.75" hidden="false" customHeight="true" outlineLevel="0" collapsed="false">
      <c r="Y817" s="1"/>
      <c r="Z817" s="1"/>
    </row>
    <row r="818" customFormat="false" ht="12.75" hidden="false" customHeight="true" outlineLevel="0" collapsed="false">
      <c r="Y818" s="1"/>
      <c r="Z818" s="1"/>
    </row>
    <row r="819" customFormat="false" ht="12.75" hidden="false" customHeight="true" outlineLevel="0" collapsed="false">
      <c r="Y819" s="1"/>
      <c r="Z819" s="1"/>
    </row>
    <row r="820" customFormat="false" ht="12.75" hidden="false" customHeight="true" outlineLevel="0" collapsed="false">
      <c r="Y820" s="1"/>
      <c r="Z820" s="1"/>
    </row>
    <row r="821" customFormat="false" ht="12.75" hidden="false" customHeight="true" outlineLevel="0" collapsed="false">
      <c r="Y821" s="1"/>
      <c r="Z821" s="1"/>
    </row>
    <row r="822" customFormat="false" ht="12.75" hidden="false" customHeight="true" outlineLevel="0" collapsed="false">
      <c r="Y822" s="1"/>
      <c r="Z822" s="1"/>
    </row>
    <row r="823" customFormat="false" ht="12.75" hidden="false" customHeight="true" outlineLevel="0" collapsed="false">
      <c r="Y823" s="1"/>
      <c r="Z823" s="1"/>
    </row>
    <row r="824" customFormat="false" ht="12.75" hidden="false" customHeight="true" outlineLevel="0" collapsed="false">
      <c r="Y824" s="1"/>
      <c r="Z824" s="1"/>
    </row>
    <row r="825" customFormat="false" ht="12.75" hidden="false" customHeight="true" outlineLevel="0" collapsed="false">
      <c r="Y825" s="1"/>
      <c r="Z825" s="1"/>
    </row>
    <row r="826" customFormat="false" ht="12.75" hidden="false" customHeight="true" outlineLevel="0" collapsed="false">
      <c r="Y826" s="1"/>
      <c r="Z826" s="1"/>
    </row>
    <row r="827" customFormat="false" ht="12.75" hidden="false" customHeight="true" outlineLevel="0" collapsed="false">
      <c r="Y827" s="1"/>
      <c r="Z827" s="1"/>
    </row>
    <row r="828" customFormat="false" ht="12.75" hidden="false" customHeight="true" outlineLevel="0" collapsed="false">
      <c r="Y828" s="1"/>
      <c r="Z828" s="1"/>
    </row>
    <row r="829" customFormat="false" ht="12.75" hidden="false" customHeight="true" outlineLevel="0" collapsed="false">
      <c r="Y829" s="1"/>
      <c r="Z829" s="1"/>
    </row>
    <row r="830" customFormat="false" ht="12.75" hidden="false" customHeight="true" outlineLevel="0" collapsed="false">
      <c r="Y830" s="1"/>
      <c r="Z830" s="1"/>
    </row>
    <row r="831" customFormat="false" ht="12.75" hidden="false" customHeight="true" outlineLevel="0" collapsed="false">
      <c r="Y831" s="1"/>
      <c r="Z831" s="1"/>
    </row>
    <row r="832" customFormat="false" ht="12.75" hidden="false" customHeight="true" outlineLevel="0" collapsed="false">
      <c r="Y832" s="1"/>
      <c r="Z832" s="1"/>
    </row>
    <row r="833" customFormat="false" ht="12.75" hidden="false" customHeight="true" outlineLevel="0" collapsed="false">
      <c r="Y833" s="1"/>
      <c r="Z833" s="1"/>
    </row>
    <row r="834" customFormat="false" ht="12.75" hidden="false" customHeight="true" outlineLevel="0" collapsed="false">
      <c r="Y834" s="1"/>
      <c r="Z834" s="1"/>
    </row>
    <row r="835" customFormat="false" ht="12.75" hidden="false" customHeight="true" outlineLevel="0" collapsed="false">
      <c r="Y835" s="1"/>
      <c r="Z835" s="1"/>
    </row>
    <row r="836" customFormat="false" ht="12.75" hidden="false" customHeight="true" outlineLevel="0" collapsed="false">
      <c r="Y836" s="1"/>
      <c r="Z836" s="1"/>
    </row>
    <row r="837" customFormat="false" ht="12.75" hidden="false" customHeight="true" outlineLevel="0" collapsed="false">
      <c r="Y837" s="1"/>
      <c r="Z837" s="1"/>
    </row>
    <row r="838" customFormat="false" ht="12.75" hidden="false" customHeight="true" outlineLevel="0" collapsed="false">
      <c r="Y838" s="1"/>
      <c r="Z838" s="1"/>
    </row>
    <row r="839" customFormat="false" ht="12.75" hidden="false" customHeight="true" outlineLevel="0" collapsed="false">
      <c r="Y839" s="1"/>
      <c r="Z839" s="1"/>
    </row>
    <row r="840" customFormat="false" ht="12.75" hidden="false" customHeight="true" outlineLevel="0" collapsed="false">
      <c r="Y840" s="1"/>
      <c r="Z840" s="1"/>
    </row>
    <row r="841" customFormat="false" ht="12.75" hidden="false" customHeight="true" outlineLevel="0" collapsed="false">
      <c r="Y841" s="1"/>
      <c r="Z841" s="1"/>
    </row>
    <row r="842" customFormat="false" ht="12.75" hidden="false" customHeight="true" outlineLevel="0" collapsed="false">
      <c r="Y842" s="1"/>
      <c r="Z842" s="1"/>
    </row>
    <row r="843" customFormat="false" ht="12.75" hidden="false" customHeight="true" outlineLevel="0" collapsed="false">
      <c r="Y843" s="1"/>
      <c r="Z843" s="1"/>
    </row>
    <row r="844" customFormat="false" ht="12.75" hidden="false" customHeight="true" outlineLevel="0" collapsed="false">
      <c r="Y844" s="1"/>
      <c r="Z844" s="1"/>
    </row>
    <row r="845" customFormat="false" ht="12.75" hidden="false" customHeight="true" outlineLevel="0" collapsed="false">
      <c r="Y845" s="1"/>
      <c r="Z845" s="1"/>
    </row>
    <row r="846" customFormat="false" ht="12.75" hidden="false" customHeight="true" outlineLevel="0" collapsed="false">
      <c r="Y846" s="1"/>
      <c r="Z846" s="1"/>
    </row>
    <row r="847" customFormat="false" ht="12.75" hidden="false" customHeight="true" outlineLevel="0" collapsed="false">
      <c r="Y847" s="1"/>
      <c r="Z847" s="1"/>
    </row>
    <row r="848" customFormat="false" ht="12.75" hidden="false" customHeight="true" outlineLevel="0" collapsed="false">
      <c r="Y848" s="1"/>
      <c r="Z848" s="1"/>
    </row>
    <row r="849" customFormat="false" ht="12.75" hidden="false" customHeight="true" outlineLevel="0" collapsed="false">
      <c r="Y849" s="1"/>
      <c r="Z849" s="1"/>
    </row>
    <row r="850" customFormat="false" ht="12.75" hidden="false" customHeight="true" outlineLevel="0" collapsed="false">
      <c r="Y850" s="1"/>
      <c r="Z850" s="1"/>
    </row>
    <row r="851" customFormat="false" ht="12.75" hidden="false" customHeight="true" outlineLevel="0" collapsed="false">
      <c r="Y851" s="1"/>
      <c r="Z851" s="1"/>
    </row>
    <row r="852" customFormat="false" ht="12.75" hidden="false" customHeight="true" outlineLevel="0" collapsed="false">
      <c r="Y852" s="1"/>
      <c r="Z852" s="1"/>
    </row>
    <row r="853" customFormat="false" ht="12.75" hidden="false" customHeight="true" outlineLevel="0" collapsed="false">
      <c r="Y853" s="1"/>
      <c r="Z853" s="1"/>
    </row>
    <row r="854" customFormat="false" ht="12.75" hidden="false" customHeight="true" outlineLevel="0" collapsed="false">
      <c r="Y854" s="1"/>
      <c r="Z854" s="1"/>
    </row>
    <row r="855" customFormat="false" ht="12.75" hidden="false" customHeight="true" outlineLevel="0" collapsed="false">
      <c r="Y855" s="1"/>
      <c r="Z855" s="1"/>
    </row>
    <row r="856" customFormat="false" ht="12.75" hidden="false" customHeight="true" outlineLevel="0" collapsed="false">
      <c r="Y856" s="1"/>
      <c r="Z856" s="1"/>
    </row>
    <row r="857" customFormat="false" ht="12.75" hidden="false" customHeight="true" outlineLevel="0" collapsed="false">
      <c r="Y857" s="1"/>
      <c r="Z857" s="1"/>
    </row>
    <row r="858" customFormat="false" ht="12.75" hidden="false" customHeight="true" outlineLevel="0" collapsed="false">
      <c r="Y858" s="1"/>
      <c r="Z858" s="1"/>
    </row>
    <row r="859" customFormat="false" ht="12.75" hidden="false" customHeight="true" outlineLevel="0" collapsed="false">
      <c r="Y859" s="1"/>
      <c r="Z859" s="1"/>
    </row>
    <row r="860" customFormat="false" ht="12.75" hidden="false" customHeight="true" outlineLevel="0" collapsed="false">
      <c r="Y860" s="1"/>
      <c r="Z860" s="1"/>
    </row>
    <row r="861" customFormat="false" ht="12.75" hidden="false" customHeight="true" outlineLevel="0" collapsed="false">
      <c r="Y861" s="1"/>
      <c r="Z861" s="1"/>
    </row>
    <row r="862" customFormat="false" ht="12.75" hidden="false" customHeight="true" outlineLevel="0" collapsed="false">
      <c r="Y862" s="1"/>
      <c r="Z862" s="1"/>
    </row>
    <row r="863" customFormat="false" ht="12.75" hidden="false" customHeight="true" outlineLevel="0" collapsed="false">
      <c r="Y863" s="1"/>
      <c r="Z863" s="1"/>
    </row>
    <row r="864" customFormat="false" ht="12.75" hidden="false" customHeight="true" outlineLevel="0" collapsed="false">
      <c r="Y864" s="1"/>
      <c r="Z864" s="1"/>
    </row>
    <row r="865" customFormat="false" ht="12.75" hidden="false" customHeight="true" outlineLevel="0" collapsed="false">
      <c r="Y865" s="1"/>
      <c r="Z865" s="1"/>
    </row>
    <row r="866" customFormat="false" ht="12.75" hidden="false" customHeight="true" outlineLevel="0" collapsed="false">
      <c r="Y866" s="1"/>
      <c r="Z866" s="1"/>
    </row>
    <row r="867" customFormat="false" ht="12.75" hidden="false" customHeight="true" outlineLevel="0" collapsed="false">
      <c r="Y867" s="1"/>
      <c r="Z867" s="1"/>
    </row>
    <row r="868" customFormat="false" ht="12.75" hidden="false" customHeight="true" outlineLevel="0" collapsed="false">
      <c r="Y868" s="1"/>
      <c r="Z868" s="1"/>
    </row>
    <row r="869" customFormat="false" ht="12.75" hidden="false" customHeight="true" outlineLevel="0" collapsed="false">
      <c r="Y869" s="1"/>
      <c r="Z869" s="1"/>
    </row>
    <row r="870" customFormat="false" ht="12.75" hidden="false" customHeight="true" outlineLevel="0" collapsed="false">
      <c r="Y870" s="1"/>
      <c r="Z870" s="1"/>
    </row>
    <row r="871" customFormat="false" ht="12.75" hidden="false" customHeight="true" outlineLevel="0" collapsed="false">
      <c r="Y871" s="1"/>
      <c r="Z871" s="1"/>
    </row>
    <row r="872" customFormat="false" ht="12.75" hidden="false" customHeight="true" outlineLevel="0" collapsed="false">
      <c r="Y872" s="1"/>
      <c r="Z872" s="1"/>
    </row>
    <row r="873" customFormat="false" ht="12.75" hidden="false" customHeight="true" outlineLevel="0" collapsed="false">
      <c r="Y873" s="1"/>
      <c r="Z873" s="1"/>
    </row>
    <row r="874" customFormat="false" ht="12.75" hidden="false" customHeight="true" outlineLevel="0" collapsed="false">
      <c r="Y874" s="1"/>
      <c r="Z874" s="1"/>
    </row>
    <row r="875" customFormat="false" ht="12.75" hidden="false" customHeight="true" outlineLevel="0" collapsed="false">
      <c r="Y875" s="1"/>
      <c r="Z875" s="1"/>
    </row>
    <row r="876" customFormat="false" ht="12.75" hidden="false" customHeight="true" outlineLevel="0" collapsed="false">
      <c r="Y876" s="1"/>
      <c r="Z876" s="1"/>
    </row>
    <row r="877" customFormat="false" ht="12.75" hidden="false" customHeight="true" outlineLevel="0" collapsed="false">
      <c r="Y877" s="1"/>
      <c r="Z877" s="1"/>
    </row>
    <row r="878" customFormat="false" ht="12.75" hidden="false" customHeight="true" outlineLevel="0" collapsed="false">
      <c r="Y878" s="1"/>
      <c r="Z878" s="1"/>
    </row>
    <row r="879" customFormat="false" ht="12.75" hidden="false" customHeight="true" outlineLevel="0" collapsed="false">
      <c r="Y879" s="1"/>
      <c r="Z879" s="1"/>
    </row>
    <row r="880" customFormat="false" ht="12.75" hidden="false" customHeight="true" outlineLevel="0" collapsed="false">
      <c r="Y880" s="1"/>
      <c r="Z880" s="1"/>
    </row>
    <row r="881" customFormat="false" ht="12.75" hidden="false" customHeight="true" outlineLevel="0" collapsed="false">
      <c r="Y881" s="1"/>
      <c r="Z881" s="1"/>
    </row>
    <row r="882" customFormat="false" ht="12.75" hidden="false" customHeight="true" outlineLevel="0" collapsed="false">
      <c r="Y882" s="1"/>
      <c r="Z882" s="1"/>
    </row>
    <row r="883" customFormat="false" ht="12.75" hidden="false" customHeight="true" outlineLevel="0" collapsed="false">
      <c r="Y883" s="1"/>
      <c r="Z883" s="1"/>
    </row>
    <row r="884" customFormat="false" ht="12.75" hidden="false" customHeight="true" outlineLevel="0" collapsed="false">
      <c r="Y884" s="1"/>
      <c r="Z884" s="1"/>
    </row>
    <row r="885" customFormat="false" ht="12.75" hidden="false" customHeight="true" outlineLevel="0" collapsed="false">
      <c r="Y885" s="1"/>
      <c r="Z885" s="1"/>
    </row>
    <row r="886" customFormat="false" ht="12.75" hidden="false" customHeight="true" outlineLevel="0" collapsed="false">
      <c r="Y886" s="1"/>
      <c r="Z886" s="1"/>
    </row>
    <row r="887" customFormat="false" ht="12.75" hidden="false" customHeight="true" outlineLevel="0" collapsed="false">
      <c r="Y887" s="1"/>
      <c r="Z887" s="1"/>
    </row>
    <row r="888" customFormat="false" ht="12.75" hidden="false" customHeight="true" outlineLevel="0" collapsed="false">
      <c r="Y888" s="1"/>
      <c r="Z888" s="1"/>
    </row>
    <row r="889" customFormat="false" ht="12.75" hidden="false" customHeight="true" outlineLevel="0" collapsed="false">
      <c r="Y889" s="1"/>
      <c r="Z889" s="1"/>
    </row>
    <row r="890" customFormat="false" ht="12.75" hidden="false" customHeight="true" outlineLevel="0" collapsed="false">
      <c r="Y890" s="1"/>
      <c r="Z890" s="1"/>
    </row>
    <row r="891" customFormat="false" ht="12.75" hidden="false" customHeight="true" outlineLevel="0" collapsed="false">
      <c r="Y891" s="1"/>
      <c r="Z891" s="1"/>
    </row>
    <row r="892" customFormat="false" ht="12.75" hidden="false" customHeight="true" outlineLevel="0" collapsed="false">
      <c r="Y892" s="1"/>
      <c r="Z892" s="1"/>
    </row>
    <row r="893" customFormat="false" ht="12.75" hidden="false" customHeight="true" outlineLevel="0" collapsed="false">
      <c r="Y893" s="1"/>
      <c r="Z893" s="1"/>
    </row>
    <row r="894" customFormat="false" ht="12.75" hidden="false" customHeight="true" outlineLevel="0" collapsed="false">
      <c r="Y894" s="1"/>
      <c r="Z894" s="1"/>
    </row>
    <row r="895" customFormat="false" ht="12.75" hidden="false" customHeight="true" outlineLevel="0" collapsed="false">
      <c r="Y895" s="1"/>
      <c r="Z895" s="1"/>
    </row>
    <row r="896" customFormat="false" ht="12.75" hidden="false" customHeight="true" outlineLevel="0" collapsed="false">
      <c r="Y896" s="1"/>
      <c r="Z896" s="1"/>
    </row>
    <row r="897" customFormat="false" ht="12.75" hidden="false" customHeight="true" outlineLevel="0" collapsed="false">
      <c r="Y897" s="1"/>
      <c r="Z897" s="1"/>
    </row>
    <row r="898" customFormat="false" ht="12.75" hidden="false" customHeight="true" outlineLevel="0" collapsed="false">
      <c r="Y898" s="1"/>
      <c r="Z898" s="1"/>
    </row>
    <row r="899" customFormat="false" ht="12.75" hidden="false" customHeight="true" outlineLevel="0" collapsed="false">
      <c r="Y899" s="1"/>
      <c r="Z899" s="1"/>
    </row>
    <row r="900" customFormat="false" ht="12.75" hidden="false" customHeight="true" outlineLevel="0" collapsed="false">
      <c r="Y900" s="1"/>
      <c r="Z900" s="1"/>
    </row>
    <row r="901" customFormat="false" ht="12.75" hidden="false" customHeight="true" outlineLevel="0" collapsed="false">
      <c r="Y901" s="1"/>
      <c r="Z901" s="1"/>
    </row>
    <row r="902" customFormat="false" ht="12.75" hidden="false" customHeight="true" outlineLevel="0" collapsed="false">
      <c r="Y902" s="1"/>
      <c r="Z902" s="1"/>
    </row>
    <row r="903" customFormat="false" ht="12.75" hidden="false" customHeight="true" outlineLevel="0" collapsed="false">
      <c r="Y903" s="1"/>
      <c r="Z903" s="1"/>
    </row>
    <row r="904" customFormat="false" ht="12.75" hidden="false" customHeight="true" outlineLevel="0" collapsed="false">
      <c r="Y904" s="1"/>
      <c r="Z904" s="1"/>
    </row>
    <row r="905" customFormat="false" ht="12.75" hidden="false" customHeight="true" outlineLevel="0" collapsed="false">
      <c r="Y905" s="1"/>
      <c r="Z905" s="1"/>
    </row>
    <row r="906" customFormat="false" ht="12.75" hidden="false" customHeight="true" outlineLevel="0" collapsed="false">
      <c r="Y906" s="1"/>
      <c r="Z906" s="1"/>
    </row>
    <row r="907" customFormat="false" ht="12.75" hidden="false" customHeight="true" outlineLevel="0" collapsed="false">
      <c r="Y907" s="1"/>
      <c r="Z907" s="1"/>
    </row>
    <row r="908" customFormat="false" ht="12.75" hidden="false" customHeight="true" outlineLevel="0" collapsed="false">
      <c r="Y908" s="1"/>
      <c r="Z908" s="1"/>
    </row>
    <row r="909" customFormat="false" ht="12.75" hidden="false" customHeight="true" outlineLevel="0" collapsed="false">
      <c r="Y909" s="1"/>
      <c r="Z909" s="1"/>
    </row>
    <row r="910" customFormat="false" ht="12.75" hidden="false" customHeight="true" outlineLevel="0" collapsed="false">
      <c r="Y910" s="1"/>
      <c r="Z910" s="1"/>
    </row>
    <row r="911" customFormat="false" ht="12.75" hidden="false" customHeight="true" outlineLevel="0" collapsed="false">
      <c r="Y911" s="1"/>
      <c r="Z911" s="1"/>
    </row>
    <row r="912" customFormat="false" ht="12.75" hidden="false" customHeight="true" outlineLevel="0" collapsed="false">
      <c r="Y912" s="1"/>
      <c r="Z912" s="1"/>
    </row>
    <row r="913" customFormat="false" ht="12.75" hidden="false" customHeight="true" outlineLevel="0" collapsed="false">
      <c r="Y913" s="1"/>
      <c r="Z913" s="1"/>
    </row>
    <row r="914" customFormat="false" ht="12.75" hidden="false" customHeight="true" outlineLevel="0" collapsed="false">
      <c r="Y914" s="1"/>
      <c r="Z914" s="1"/>
    </row>
    <row r="915" customFormat="false" ht="12.75" hidden="false" customHeight="true" outlineLevel="0" collapsed="false">
      <c r="Y915" s="1"/>
      <c r="Z915" s="1"/>
    </row>
    <row r="916" customFormat="false" ht="12.75" hidden="false" customHeight="true" outlineLevel="0" collapsed="false">
      <c r="Y916" s="1"/>
      <c r="Z916" s="1"/>
    </row>
    <row r="917" customFormat="false" ht="12.75" hidden="false" customHeight="true" outlineLevel="0" collapsed="false">
      <c r="Y917" s="1"/>
      <c r="Z917" s="1"/>
    </row>
    <row r="918" customFormat="false" ht="12.75" hidden="false" customHeight="true" outlineLevel="0" collapsed="false">
      <c r="Y918" s="1"/>
      <c r="Z918" s="1"/>
    </row>
    <row r="919" customFormat="false" ht="12.75" hidden="false" customHeight="true" outlineLevel="0" collapsed="false">
      <c r="Y919" s="1"/>
      <c r="Z919" s="1"/>
    </row>
    <row r="920" customFormat="false" ht="12.75" hidden="false" customHeight="true" outlineLevel="0" collapsed="false">
      <c r="Y920" s="1"/>
      <c r="Z920" s="1"/>
    </row>
    <row r="921" customFormat="false" ht="12.75" hidden="false" customHeight="true" outlineLevel="0" collapsed="false">
      <c r="Y921" s="1"/>
      <c r="Z921" s="1"/>
    </row>
    <row r="922" customFormat="false" ht="12.75" hidden="false" customHeight="true" outlineLevel="0" collapsed="false">
      <c r="Y922" s="1"/>
      <c r="Z922" s="1"/>
    </row>
    <row r="923" customFormat="false" ht="12.75" hidden="false" customHeight="true" outlineLevel="0" collapsed="false">
      <c r="Y923" s="1"/>
      <c r="Z923" s="1"/>
    </row>
    <row r="924" customFormat="false" ht="12.75" hidden="false" customHeight="true" outlineLevel="0" collapsed="false">
      <c r="Y924" s="1"/>
      <c r="Z924" s="1"/>
    </row>
    <row r="925" customFormat="false" ht="12.75" hidden="false" customHeight="true" outlineLevel="0" collapsed="false">
      <c r="Y925" s="1"/>
      <c r="Z925" s="1"/>
    </row>
    <row r="926" customFormat="false" ht="12.75" hidden="false" customHeight="true" outlineLevel="0" collapsed="false">
      <c r="Y926" s="1"/>
      <c r="Z926" s="1"/>
    </row>
    <row r="927" customFormat="false" ht="12.75" hidden="false" customHeight="true" outlineLevel="0" collapsed="false">
      <c r="Y927" s="1"/>
      <c r="Z927" s="1"/>
    </row>
    <row r="928" customFormat="false" ht="12.75" hidden="false" customHeight="true" outlineLevel="0" collapsed="false">
      <c r="Y928" s="1"/>
      <c r="Z928" s="1"/>
    </row>
    <row r="929" customFormat="false" ht="12.75" hidden="false" customHeight="true" outlineLevel="0" collapsed="false">
      <c r="Y929" s="1"/>
      <c r="Z929" s="1"/>
    </row>
    <row r="930" customFormat="false" ht="12.75" hidden="false" customHeight="true" outlineLevel="0" collapsed="false">
      <c r="Y930" s="1"/>
      <c r="Z930" s="1"/>
    </row>
    <row r="931" customFormat="false" ht="12.75" hidden="false" customHeight="true" outlineLevel="0" collapsed="false">
      <c r="Y931" s="1"/>
      <c r="Z931" s="1"/>
    </row>
    <row r="932" customFormat="false" ht="12.75" hidden="false" customHeight="true" outlineLevel="0" collapsed="false">
      <c r="Y932" s="1"/>
      <c r="Z932" s="1"/>
    </row>
    <row r="933" customFormat="false" ht="12.75" hidden="false" customHeight="true" outlineLevel="0" collapsed="false">
      <c r="Y933" s="1"/>
      <c r="Z933" s="1"/>
    </row>
    <row r="934" customFormat="false" ht="12.75" hidden="false" customHeight="true" outlineLevel="0" collapsed="false">
      <c r="Y934" s="1"/>
      <c r="Z934" s="1"/>
    </row>
    <row r="935" customFormat="false" ht="12.75" hidden="false" customHeight="true" outlineLevel="0" collapsed="false">
      <c r="Y935" s="1"/>
      <c r="Z935" s="1"/>
    </row>
    <row r="936" customFormat="false" ht="12.75" hidden="false" customHeight="true" outlineLevel="0" collapsed="false">
      <c r="Y936" s="1"/>
      <c r="Z936" s="1"/>
    </row>
    <row r="937" customFormat="false" ht="12.75" hidden="false" customHeight="true" outlineLevel="0" collapsed="false">
      <c r="Y937" s="1"/>
      <c r="Z937" s="1"/>
    </row>
    <row r="938" customFormat="false" ht="12.75" hidden="false" customHeight="true" outlineLevel="0" collapsed="false">
      <c r="Y938" s="1"/>
      <c r="Z938" s="1"/>
    </row>
    <row r="939" customFormat="false" ht="12.75" hidden="false" customHeight="true" outlineLevel="0" collapsed="false">
      <c r="Y939" s="1"/>
      <c r="Z939" s="1"/>
    </row>
    <row r="940" customFormat="false" ht="12.75" hidden="false" customHeight="true" outlineLevel="0" collapsed="false">
      <c r="Y940" s="1"/>
      <c r="Z940" s="1"/>
    </row>
    <row r="941" customFormat="false" ht="12.75" hidden="false" customHeight="true" outlineLevel="0" collapsed="false">
      <c r="Y941" s="1"/>
      <c r="Z941" s="1"/>
    </row>
    <row r="942" customFormat="false" ht="12.75" hidden="false" customHeight="true" outlineLevel="0" collapsed="false">
      <c r="Y942" s="1"/>
      <c r="Z942" s="1"/>
    </row>
    <row r="943" customFormat="false" ht="12.75" hidden="false" customHeight="true" outlineLevel="0" collapsed="false">
      <c r="Y943" s="1"/>
      <c r="Z943" s="1"/>
    </row>
    <row r="944" customFormat="false" ht="12.75" hidden="false" customHeight="true" outlineLevel="0" collapsed="false">
      <c r="Y944" s="1"/>
      <c r="Z944" s="1"/>
    </row>
    <row r="945" customFormat="false" ht="12.75" hidden="false" customHeight="true" outlineLevel="0" collapsed="false">
      <c r="Y945" s="1"/>
      <c r="Z945" s="1"/>
    </row>
    <row r="946" customFormat="false" ht="12.75" hidden="false" customHeight="true" outlineLevel="0" collapsed="false">
      <c r="Y946" s="1"/>
      <c r="Z946" s="1"/>
    </row>
    <row r="947" customFormat="false" ht="12.75" hidden="false" customHeight="true" outlineLevel="0" collapsed="false">
      <c r="Y947" s="1"/>
      <c r="Z947" s="1"/>
    </row>
    <row r="948" customFormat="false" ht="12.75" hidden="false" customHeight="true" outlineLevel="0" collapsed="false">
      <c r="Y948" s="1"/>
      <c r="Z948" s="1"/>
    </row>
    <row r="949" customFormat="false" ht="12.75" hidden="false" customHeight="true" outlineLevel="0" collapsed="false">
      <c r="Y949" s="1"/>
      <c r="Z949" s="1"/>
    </row>
    <row r="950" customFormat="false" ht="12.75" hidden="false" customHeight="true" outlineLevel="0" collapsed="false">
      <c r="Y950" s="1"/>
      <c r="Z950" s="1"/>
    </row>
    <row r="951" customFormat="false" ht="12.75" hidden="false" customHeight="true" outlineLevel="0" collapsed="false">
      <c r="Y951" s="1"/>
      <c r="Z951" s="1"/>
    </row>
    <row r="952" customFormat="false" ht="12.75" hidden="false" customHeight="true" outlineLevel="0" collapsed="false">
      <c r="Y952" s="1"/>
      <c r="Z952" s="1"/>
    </row>
    <row r="953" customFormat="false" ht="12.75" hidden="false" customHeight="true" outlineLevel="0" collapsed="false">
      <c r="Y953" s="1"/>
      <c r="Z953" s="1"/>
    </row>
    <row r="954" customFormat="false" ht="12.75" hidden="false" customHeight="true" outlineLevel="0" collapsed="false">
      <c r="Y954" s="1"/>
      <c r="Z954" s="1"/>
    </row>
    <row r="955" customFormat="false" ht="12.75" hidden="false" customHeight="true" outlineLevel="0" collapsed="false">
      <c r="Y955" s="1"/>
      <c r="Z955" s="1"/>
    </row>
    <row r="956" customFormat="false" ht="12.75" hidden="false" customHeight="true" outlineLevel="0" collapsed="false">
      <c r="Y956" s="1"/>
      <c r="Z956" s="1"/>
    </row>
    <row r="957" customFormat="false" ht="12.75" hidden="false" customHeight="true" outlineLevel="0" collapsed="false">
      <c r="Y957" s="1"/>
      <c r="Z957" s="1"/>
    </row>
    <row r="958" customFormat="false" ht="12.75" hidden="false" customHeight="true" outlineLevel="0" collapsed="false">
      <c r="Y958" s="1"/>
      <c r="Z958" s="1"/>
    </row>
    <row r="959" customFormat="false" ht="12.75" hidden="false" customHeight="true" outlineLevel="0" collapsed="false">
      <c r="Y959" s="1"/>
      <c r="Z959" s="1"/>
    </row>
    <row r="960" customFormat="false" ht="12.75" hidden="false" customHeight="true" outlineLevel="0" collapsed="false">
      <c r="Y960" s="1"/>
      <c r="Z960" s="1"/>
    </row>
    <row r="961" customFormat="false" ht="12.75" hidden="false" customHeight="true" outlineLevel="0" collapsed="false">
      <c r="Y961" s="1"/>
      <c r="Z961" s="1"/>
    </row>
    <row r="962" customFormat="false" ht="12.75" hidden="false" customHeight="true" outlineLevel="0" collapsed="false">
      <c r="Y962" s="1"/>
      <c r="Z962" s="1"/>
    </row>
    <row r="963" customFormat="false" ht="12.75" hidden="false" customHeight="true" outlineLevel="0" collapsed="false">
      <c r="Y963" s="1"/>
      <c r="Z963" s="1"/>
    </row>
    <row r="964" customFormat="false" ht="12.75" hidden="false" customHeight="true" outlineLevel="0" collapsed="false">
      <c r="Y964" s="1"/>
      <c r="Z964" s="1"/>
    </row>
    <row r="965" customFormat="false" ht="12.75" hidden="false" customHeight="true" outlineLevel="0" collapsed="false">
      <c r="Y965" s="1"/>
      <c r="Z965" s="1"/>
    </row>
    <row r="966" customFormat="false" ht="12.75" hidden="false" customHeight="true" outlineLevel="0" collapsed="false">
      <c r="Y966" s="1"/>
      <c r="Z966" s="1"/>
    </row>
    <row r="967" customFormat="false" ht="12.75" hidden="false" customHeight="true" outlineLevel="0" collapsed="false">
      <c r="Y967" s="1"/>
      <c r="Z967" s="1"/>
    </row>
    <row r="968" customFormat="false" ht="12.75" hidden="false" customHeight="true" outlineLevel="0" collapsed="false">
      <c r="Y968" s="1"/>
      <c r="Z968" s="1"/>
    </row>
    <row r="969" customFormat="false" ht="12.75" hidden="false" customHeight="true" outlineLevel="0" collapsed="false">
      <c r="Y969" s="1"/>
      <c r="Z969" s="1"/>
    </row>
    <row r="970" customFormat="false" ht="12.75" hidden="false" customHeight="true" outlineLevel="0" collapsed="false">
      <c r="Y970" s="1"/>
      <c r="Z970" s="1"/>
    </row>
    <row r="971" customFormat="false" ht="12.75" hidden="false" customHeight="true" outlineLevel="0" collapsed="false">
      <c r="Y971" s="1"/>
      <c r="Z971" s="1"/>
    </row>
    <row r="972" customFormat="false" ht="12.75" hidden="false" customHeight="true" outlineLevel="0" collapsed="false">
      <c r="Y972" s="1"/>
      <c r="Z972" s="1"/>
    </row>
    <row r="973" customFormat="false" ht="12.75" hidden="false" customHeight="true" outlineLevel="0" collapsed="false">
      <c r="Y973" s="1"/>
      <c r="Z973" s="1"/>
    </row>
    <row r="974" customFormat="false" ht="12.75" hidden="false" customHeight="true" outlineLevel="0" collapsed="false">
      <c r="Y974" s="1"/>
      <c r="Z974" s="1"/>
    </row>
    <row r="975" customFormat="false" ht="12.75" hidden="false" customHeight="true" outlineLevel="0" collapsed="false">
      <c r="Y975" s="1"/>
      <c r="Z975" s="1"/>
    </row>
    <row r="976" customFormat="false" ht="12.75" hidden="false" customHeight="true" outlineLevel="0" collapsed="false">
      <c r="Y976" s="1"/>
      <c r="Z976" s="1"/>
    </row>
    <row r="977" customFormat="false" ht="12.75" hidden="false" customHeight="true" outlineLevel="0" collapsed="false">
      <c r="Y977" s="1"/>
      <c r="Z977" s="1"/>
    </row>
    <row r="978" customFormat="false" ht="12.75" hidden="false" customHeight="true" outlineLevel="0" collapsed="false">
      <c r="Y978" s="1"/>
      <c r="Z978" s="1"/>
    </row>
    <row r="979" customFormat="false" ht="12.75" hidden="false" customHeight="true" outlineLevel="0" collapsed="false">
      <c r="Y979" s="1"/>
      <c r="Z979" s="1"/>
    </row>
    <row r="980" customFormat="false" ht="12.75" hidden="false" customHeight="true" outlineLevel="0" collapsed="false">
      <c r="Y980" s="1"/>
      <c r="Z980" s="1"/>
    </row>
    <row r="981" customFormat="false" ht="12.75" hidden="false" customHeight="true" outlineLevel="0" collapsed="false">
      <c r="Y981" s="1"/>
      <c r="Z981" s="1"/>
    </row>
    <row r="982" customFormat="false" ht="12.75" hidden="false" customHeight="true" outlineLevel="0" collapsed="false">
      <c r="Y982" s="1"/>
      <c r="Z982" s="1"/>
    </row>
    <row r="983" customFormat="false" ht="12.75" hidden="false" customHeight="true" outlineLevel="0" collapsed="false">
      <c r="Y983" s="1"/>
      <c r="Z983" s="1"/>
    </row>
    <row r="984" customFormat="false" ht="12.75" hidden="false" customHeight="true" outlineLevel="0" collapsed="false">
      <c r="Y984" s="1"/>
      <c r="Z984" s="1"/>
    </row>
    <row r="985" customFormat="false" ht="12.75" hidden="false" customHeight="true" outlineLevel="0" collapsed="false">
      <c r="Y985" s="1"/>
      <c r="Z985" s="1"/>
    </row>
    <row r="986" customFormat="false" ht="12.75" hidden="false" customHeight="true" outlineLevel="0" collapsed="false">
      <c r="Y986" s="1"/>
      <c r="Z986" s="1"/>
    </row>
    <row r="987" customFormat="false" ht="12.75" hidden="false" customHeight="true" outlineLevel="0" collapsed="false">
      <c r="Y987" s="1"/>
      <c r="Z987" s="1"/>
    </row>
    <row r="988" customFormat="false" ht="12.75" hidden="false" customHeight="true" outlineLevel="0" collapsed="false">
      <c r="Y988" s="1"/>
      <c r="Z988" s="1"/>
    </row>
    <row r="989" customFormat="false" ht="12.75" hidden="false" customHeight="true" outlineLevel="0" collapsed="false">
      <c r="Y989" s="1"/>
      <c r="Z989" s="1"/>
    </row>
    <row r="990" customFormat="false" ht="12.75" hidden="false" customHeight="true" outlineLevel="0" collapsed="false">
      <c r="Y990" s="1"/>
      <c r="Z990" s="1"/>
    </row>
    <row r="991" customFormat="false" ht="12.75" hidden="false" customHeight="true" outlineLevel="0" collapsed="false">
      <c r="Y991" s="1"/>
      <c r="Z991" s="1"/>
    </row>
    <row r="992" customFormat="false" ht="12.75" hidden="false" customHeight="true" outlineLevel="0" collapsed="false">
      <c r="Y992" s="1"/>
      <c r="Z992" s="1"/>
    </row>
    <row r="993" customFormat="false" ht="12.75" hidden="false" customHeight="true" outlineLevel="0" collapsed="false">
      <c r="Y993" s="1"/>
      <c r="Z993" s="1"/>
    </row>
    <row r="994" customFormat="false" ht="12.75" hidden="false" customHeight="true" outlineLevel="0" collapsed="false">
      <c r="Y994" s="1"/>
      <c r="Z994" s="1"/>
    </row>
    <row r="995" customFormat="false" ht="12.75" hidden="false" customHeight="true" outlineLevel="0" collapsed="false">
      <c r="Y995" s="1"/>
      <c r="Z995" s="1"/>
    </row>
    <row r="996" customFormat="false" ht="12.75" hidden="false" customHeight="true" outlineLevel="0" collapsed="false">
      <c r="Y996" s="1"/>
      <c r="Z996" s="1"/>
    </row>
    <row r="997" customFormat="false" ht="12.75" hidden="false" customHeight="true" outlineLevel="0" collapsed="false">
      <c r="Y997" s="1"/>
      <c r="Z997" s="1"/>
    </row>
    <row r="998" customFormat="false" ht="12.75" hidden="false" customHeight="true" outlineLevel="0" collapsed="false">
      <c r="Y998" s="1"/>
      <c r="Z998" s="1"/>
    </row>
    <row r="999" customFormat="false" ht="12.75" hidden="false" customHeight="true" outlineLevel="0" collapsed="false">
      <c r="Y999" s="1"/>
      <c r="Z999" s="1"/>
    </row>
    <row r="1000" customFormat="false" ht="12.75" hidden="false" customHeight="true" outlineLevel="0" collapsed="false">
      <c r="Y1000" s="1"/>
      <c r="Z1000" s="1"/>
    </row>
  </sheetData>
  <mergeCells count="70">
    <mergeCell ref="B1:C1"/>
    <mergeCell ref="B3:D3"/>
    <mergeCell ref="B4:D4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60:C60"/>
    <mergeCell ref="B61:C61"/>
    <mergeCell ref="B62:C62"/>
    <mergeCell ref="B63:C63"/>
    <mergeCell ref="B65:C65"/>
    <mergeCell ref="B66:C66"/>
    <mergeCell ref="B67:C67"/>
    <mergeCell ref="B68:C68"/>
    <mergeCell ref="B69:C69"/>
    <mergeCell ref="B70:C70"/>
    <mergeCell ref="B72:C72"/>
    <mergeCell ref="B73:C73"/>
    <mergeCell ref="B74:C74"/>
    <mergeCell ref="B75:C75"/>
    <mergeCell ref="B76:C76"/>
    <mergeCell ref="B77:C77"/>
  </mergeCells>
  <dataValidations count="1">
    <dataValidation allowBlank="true" errorStyle="stop" operator="between" showDropDown="false" showErrorMessage="false" showInputMessage="false" sqref="D7:D22 D25:D41 D44:D58 D61:D63 D66:D70 D73:D77" type="list">
      <formula1>"OK,NC,NA,BL"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B15" activeCellId="0" sqref="B15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9"/>
    <col collapsed="false" customWidth="true" hidden="false" outlineLevel="0" max="3" min="3" style="1" width="36"/>
    <col collapsed="false" customWidth="true" hidden="false" outlineLevel="0" max="4" min="4" style="1" width="55"/>
    <col collapsed="false" customWidth="true" hidden="false" outlineLevel="0" max="5" min="5" style="1" width="35"/>
    <col collapsed="false" customWidth="true" hidden="false" outlineLevel="0" max="6" min="6" style="1" width="48"/>
    <col collapsed="false" customWidth="true" hidden="false" outlineLevel="0" max="9" min="7" style="1" width="6"/>
    <col collapsed="false" customWidth="true" hidden="false" outlineLevel="0" max="10" min="10" style="1" width="31"/>
    <col collapsed="false" customWidth="true" hidden="false" outlineLevel="0" max="11" min="11" style="1" width="42"/>
    <col collapsed="false" customWidth="true" hidden="false" outlineLevel="0" max="21" min="12" style="1" width="15"/>
    <col collapsed="false" customWidth="true" hidden="false" outlineLevel="0" max="26" min="22" style="1" width="17.38"/>
  </cols>
  <sheetData>
    <row r="1" customFormat="false" ht="12.75" hidden="false" customHeight="true" outlineLevel="0" collapsed="false">
      <c r="A1" s="36"/>
      <c r="B1" s="36"/>
      <c r="C1" s="36"/>
      <c r="D1" s="36"/>
      <c r="E1" s="36"/>
      <c r="F1" s="37"/>
      <c r="G1" s="37"/>
      <c r="H1" s="37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8"/>
      <c r="U1" s="38"/>
      <c r="V1" s="38"/>
      <c r="W1" s="38"/>
      <c r="X1" s="38"/>
      <c r="Y1" s="38"/>
      <c r="Z1" s="38"/>
    </row>
    <row r="2" customFormat="false" ht="19.5" hidden="false" customHeight="true" outlineLevel="0" collapsed="false">
      <c r="A2" s="2"/>
      <c r="B2" s="38"/>
      <c r="C2" s="39" t="s">
        <v>136</v>
      </c>
      <c r="D2" s="39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8"/>
      <c r="U2" s="38"/>
      <c r="V2" s="38"/>
      <c r="W2" s="38"/>
      <c r="X2" s="38"/>
      <c r="Y2" s="38"/>
      <c r="Z2" s="38"/>
    </row>
    <row r="3" customFormat="false" ht="12.75" hidden="false" customHeight="true" outlineLevel="0" collapsed="false">
      <c r="A3" s="2"/>
      <c r="B3" s="40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38"/>
      <c r="U3" s="38"/>
      <c r="V3" s="38"/>
      <c r="W3" s="38"/>
      <c r="X3" s="38"/>
      <c r="Y3" s="38"/>
      <c r="Z3" s="38"/>
    </row>
    <row r="4" customFormat="false" ht="12" hidden="false" customHeight="true" outlineLevel="0" collapsed="false">
      <c r="A4" s="41"/>
      <c r="B4" s="42" t="s">
        <v>137</v>
      </c>
      <c r="C4" s="42"/>
      <c r="D4" s="43" t="s">
        <v>138</v>
      </c>
      <c r="E4" s="43"/>
      <c r="F4" s="43"/>
      <c r="G4" s="41"/>
      <c r="H4" s="41"/>
      <c r="I4" s="41"/>
      <c r="J4" s="44"/>
      <c r="K4" s="44"/>
      <c r="L4" s="2"/>
      <c r="M4" s="2"/>
      <c r="N4" s="2"/>
      <c r="O4" s="2"/>
      <c r="P4" s="2"/>
      <c r="Q4" s="2"/>
      <c r="R4" s="2"/>
      <c r="S4" s="2"/>
      <c r="T4" s="38"/>
      <c r="U4" s="38"/>
      <c r="V4" s="38"/>
      <c r="W4" s="38"/>
      <c r="X4" s="38"/>
      <c r="Y4" s="38"/>
      <c r="Z4" s="38"/>
    </row>
    <row r="5" customFormat="false" ht="12" hidden="false" customHeight="true" outlineLevel="0" collapsed="false">
      <c r="A5" s="41"/>
      <c r="B5" s="42" t="s">
        <v>139</v>
      </c>
      <c r="C5" s="42"/>
      <c r="D5" s="43" t="s">
        <v>140</v>
      </c>
      <c r="E5" s="43"/>
      <c r="F5" s="43"/>
      <c r="G5" s="41"/>
      <c r="H5" s="41"/>
      <c r="I5" s="41"/>
      <c r="J5" s="38"/>
      <c r="K5" s="38"/>
      <c r="L5" s="38"/>
      <c r="M5" s="38"/>
      <c r="N5" s="38"/>
      <c r="O5" s="38"/>
      <c r="P5" s="38"/>
      <c r="Q5" s="45"/>
      <c r="R5" s="45"/>
      <c r="S5" s="45"/>
      <c r="T5" s="38"/>
      <c r="U5" s="38"/>
      <c r="V5" s="38"/>
      <c r="W5" s="38"/>
      <c r="X5" s="38"/>
      <c r="Y5" s="38"/>
      <c r="Z5" s="38"/>
    </row>
    <row r="6" customFormat="false" ht="12" hidden="false" customHeight="true" outlineLevel="0" collapsed="false">
      <c r="A6" s="41"/>
      <c r="B6" s="42" t="s">
        <v>141</v>
      </c>
      <c r="C6" s="42"/>
      <c r="D6" s="43" t="s">
        <v>142</v>
      </c>
      <c r="E6" s="43"/>
      <c r="F6" s="43"/>
      <c r="G6" s="41"/>
      <c r="H6" s="41"/>
      <c r="I6" s="41"/>
      <c r="J6" s="38"/>
      <c r="K6" s="38"/>
      <c r="L6" s="38"/>
      <c r="M6" s="38"/>
      <c r="N6" s="38"/>
      <c r="O6" s="38"/>
      <c r="P6" s="38"/>
      <c r="Q6" s="45"/>
      <c r="R6" s="45"/>
      <c r="S6" s="45"/>
      <c r="T6" s="38"/>
      <c r="U6" s="38"/>
      <c r="V6" s="38"/>
      <c r="W6" s="38"/>
      <c r="X6" s="38"/>
      <c r="Y6" s="38"/>
      <c r="Z6" s="38"/>
    </row>
    <row r="7" customFormat="false" ht="12" hidden="false" customHeight="true" outlineLevel="0" collapsed="false">
      <c r="A7" s="41"/>
      <c r="B7" s="42" t="s">
        <v>143</v>
      </c>
      <c r="C7" s="42"/>
      <c r="D7" s="43" t="s">
        <v>144</v>
      </c>
      <c r="E7" s="43"/>
      <c r="F7" s="43"/>
      <c r="G7" s="41"/>
      <c r="H7" s="41"/>
      <c r="I7" s="41"/>
      <c r="J7" s="38"/>
      <c r="K7" s="38"/>
      <c r="L7" s="38"/>
      <c r="M7" s="38"/>
      <c r="N7" s="38"/>
      <c r="O7" s="38"/>
      <c r="P7" s="38"/>
      <c r="Q7" s="45"/>
      <c r="R7" s="45"/>
      <c r="S7" s="45"/>
      <c r="T7" s="38"/>
      <c r="U7" s="38"/>
      <c r="V7" s="38"/>
      <c r="W7" s="38"/>
      <c r="X7" s="38"/>
      <c r="Y7" s="38"/>
      <c r="Z7" s="38"/>
    </row>
    <row r="8" customFormat="false" ht="12" hidden="false" customHeight="true" outlineLevel="0" collapsed="false">
      <c r="A8" s="41"/>
      <c r="B8" s="42" t="s">
        <v>145</v>
      </c>
      <c r="C8" s="42"/>
      <c r="D8" s="43" t="n">
        <v>1</v>
      </c>
      <c r="E8" s="43"/>
      <c r="F8" s="43"/>
      <c r="G8" s="41"/>
      <c r="H8" s="41"/>
      <c r="I8" s="41"/>
      <c r="J8" s="38"/>
      <c r="K8" s="38"/>
      <c r="L8" s="38"/>
      <c r="M8" s="38"/>
      <c r="N8" s="38"/>
      <c r="O8" s="38"/>
      <c r="P8" s="38"/>
      <c r="Q8" s="45"/>
      <c r="R8" s="45"/>
      <c r="S8" s="45"/>
      <c r="T8" s="38"/>
      <c r="U8" s="38"/>
      <c r="V8" s="38"/>
      <c r="W8" s="38"/>
      <c r="X8" s="38"/>
      <c r="Y8" s="38"/>
      <c r="Z8" s="38"/>
    </row>
    <row r="9" customFormat="false" ht="12" hidden="false" customHeight="true" outlineLevel="0" collapsed="false">
      <c r="A9" s="41"/>
      <c r="B9" s="42" t="s">
        <v>146</v>
      </c>
      <c r="C9" s="42"/>
      <c r="D9" s="46" t="n">
        <v>46304.5</v>
      </c>
      <c r="E9" s="46"/>
      <c r="F9" s="46"/>
      <c r="G9" s="41"/>
      <c r="H9" s="41"/>
      <c r="I9" s="41"/>
      <c r="J9" s="38"/>
      <c r="K9" s="38"/>
      <c r="L9" s="38"/>
      <c r="M9" s="38"/>
      <c r="N9" s="38"/>
      <c r="O9" s="38"/>
      <c r="P9" s="38"/>
      <c r="Q9" s="45"/>
      <c r="R9" s="45"/>
      <c r="S9" s="45"/>
      <c r="T9" s="38"/>
      <c r="U9" s="38"/>
      <c r="V9" s="38"/>
      <c r="W9" s="38"/>
      <c r="X9" s="38"/>
      <c r="Y9" s="38"/>
      <c r="Z9" s="38"/>
    </row>
    <row r="10" customFormat="false" ht="12.75" hidden="false" customHeight="true" outlineLevel="0" collapsed="false">
      <c r="A10" s="38"/>
      <c r="B10" s="38"/>
      <c r="C10" s="38"/>
      <c r="D10" s="38"/>
      <c r="E10" s="38"/>
      <c r="F10" s="38"/>
      <c r="G10" s="38"/>
      <c r="H10" s="2"/>
      <c r="I10" s="38"/>
      <c r="J10" s="38"/>
      <c r="K10" s="38"/>
      <c r="L10" s="38"/>
      <c r="M10" s="38"/>
      <c r="N10" s="38"/>
      <c r="O10" s="38"/>
      <c r="P10" s="38"/>
      <c r="Q10" s="45"/>
      <c r="R10" s="45"/>
      <c r="S10" s="45"/>
      <c r="T10" s="38"/>
      <c r="U10" s="38"/>
      <c r="V10" s="38"/>
      <c r="W10" s="38"/>
      <c r="X10" s="38"/>
      <c r="Y10" s="38"/>
      <c r="Z10" s="38"/>
    </row>
    <row r="11" customFormat="false" ht="12.75" hidden="false" customHeight="true" outlineLevel="0" collapsed="false">
      <c r="A11" s="47"/>
      <c r="B11" s="45"/>
      <c r="C11" s="48"/>
      <c r="D11" s="47"/>
      <c r="E11" s="47"/>
      <c r="F11" s="47"/>
      <c r="G11" s="47"/>
      <c r="H11" s="47"/>
      <c r="I11" s="47"/>
      <c r="J11" s="47"/>
      <c r="K11" s="47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38"/>
      <c r="W11" s="38"/>
      <c r="X11" s="38"/>
      <c r="Y11" s="38"/>
      <c r="Z11" s="38"/>
    </row>
    <row r="12" customFormat="false" ht="42" hidden="false" customHeight="true" outlineLevel="0" collapsed="false">
      <c r="A12" s="49" t="s">
        <v>3</v>
      </c>
      <c r="B12" s="50" t="s">
        <v>147</v>
      </c>
      <c r="C12" s="51" t="s">
        <v>148</v>
      </c>
      <c r="D12" s="52" t="s">
        <v>149</v>
      </c>
      <c r="E12" s="51" t="s">
        <v>150</v>
      </c>
      <c r="F12" s="51" t="s">
        <v>151</v>
      </c>
      <c r="G12" s="53" t="s">
        <v>152</v>
      </c>
      <c r="H12" s="53"/>
      <c r="I12" s="53"/>
      <c r="J12" s="53"/>
      <c r="K12" s="53"/>
      <c r="L12" s="54" t="s">
        <v>153</v>
      </c>
      <c r="M12" s="55"/>
      <c r="N12" s="55"/>
      <c r="O12" s="55"/>
      <c r="P12" s="55"/>
      <c r="Q12" s="55"/>
      <c r="R12" s="55"/>
      <c r="S12" s="55"/>
      <c r="T12" s="55"/>
      <c r="U12" s="38"/>
      <c r="V12" s="38"/>
      <c r="W12" s="38"/>
      <c r="X12" s="38"/>
      <c r="Y12" s="38"/>
      <c r="Z12" s="38"/>
    </row>
    <row r="13" customFormat="false" ht="25.5" hidden="false" customHeight="true" outlineLevel="0" collapsed="false">
      <c r="A13" s="56"/>
      <c r="B13" s="57"/>
      <c r="C13" s="58"/>
      <c r="D13" s="59"/>
      <c r="E13" s="58"/>
      <c r="F13" s="60"/>
      <c r="G13" s="61" t="s">
        <v>154</v>
      </c>
      <c r="H13" s="62" t="s">
        <v>155</v>
      </c>
      <c r="I13" s="63" t="s">
        <v>156</v>
      </c>
      <c r="J13" s="64" t="s">
        <v>157</v>
      </c>
      <c r="K13" s="65" t="s">
        <v>158</v>
      </c>
      <c r="L13" s="54"/>
      <c r="M13" s="55"/>
      <c r="N13" s="55"/>
      <c r="O13" s="55"/>
      <c r="P13" s="55"/>
      <c r="Q13" s="55"/>
      <c r="R13" s="55"/>
      <c r="S13" s="55"/>
      <c r="T13" s="55"/>
      <c r="U13" s="38"/>
      <c r="V13" s="38"/>
      <c r="W13" s="38"/>
      <c r="X13" s="38"/>
      <c r="Y13" s="38"/>
      <c r="Z13" s="38"/>
    </row>
    <row r="14" customFormat="false" ht="78" hidden="false" customHeight="true" outlineLevel="0" collapsed="false">
      <c r="A14" s="66" t="n">
        <v>1</v>
      </c>
      <c r="B14" s="67" t="s">
        <v>159</v>
      </c>
      <c r="C14" s="68" t="s">
        <v>160</v>
      </c>
      <c r="D14" s="69" t="s">
        <v>161</v>
      </c>
      <c r="E14" s="69" t="s">
        <v>162</v>
      </c>
      <c r="F14" s="69" t="s">
        <v>163</v>
      </c>
      <c r="G14" s="70" t="str">
        <f aca="false">IF($L14="Aprobado","x","")</f>
        <v>x</v>
      </c>
      <c r="H14" s="70" t="str">
        <f aca="false">IF($L14="Fallido","x","")</f>
        <v/>
      </c>
      <c r="I14" s="70" t="str">
        <f aca="false">IF($L14="No aplica","x","")</f>
        <v/>
      </c>
      <c r="J14" s="71" t="s">
        <v>164</v>
      </c>
      <c r="K14" s="72" t="s">
        <v>165</v>
      </c>
      <c r="L14" s="73" t="s">
        <v>166</v>
      </c>
      <c r="M14" s="74"/>
      <c r="N14" s="74"/>
      <c r="O14" s="74"/>
      <c r="P14" s="74"/>
      <c r="Q14" s="74"/>
      <c r="R14" s="74"/>
      <c r="S14" s="74"/>
      <c r="T14" s="74"/>
      <c r="U14" s="38"/>
      <c r="V14" s="38"/>
      <c r="W14" s="38"/>
      <c r="X14" s="38"/>
      <c r="Y14" s="38"/>
      <c r="Z14" s="38"/>
    </row>
    <row r="15" customFormat="false" ht="78" hidden="false" customHeight="true" outlineLevel="0" collapsed="false">
      <c r="A15" s="66" t="n">
        <v>2</v>
      </c>
      <c r="B15" s="67" t="s">
        <v>167</v>
      </c>
      <c r="C15" s="68" t="s">
        <v>168</v>
      </c>
      <c r="D15" s="69" t="s">
        <v>169</v>
      </c>
      <c r="E15" s="69" t="s">
        <v>170</v>
      </c>
      <c r="F15" s="69" t="s">
        <v>171</v>
      </c>
      <c r="G15" s="70" t="str">
        <f aca="false">IF($L15="Aprobado","x","")</f>
        <v>x</v>
      </c>
      <c r="H15" s="70" t="str">
        <f aca="false">IF($L15="Fallido","x","")</f>
        <v/>
      </c>
      <c r="I15" s="70" t="str">
        <f aca="false">IF($L15="No aplica","x","")</f>
        <v/>
      </c>
      <c r="J15" s="71" t="s">
        <v>172</v>
      </c>
      <c r="K15" s="72" t="s">
        <v>173</v>
      </c>
      <c r="L15" s="73" t="s">
        <v>166</v>
      </c>
      <c r="M15" s="74"/>
      <c r="N15" s="74"/>
      <c r="O15" s="74"/>
      <c r="P15" s="74"/>
      <c r="Q15" s="74"/>
      <c r="R15" s="74"/>
      <c r="S15" s="74"/>
      <c r="T15" s="74"/>
      <c r="U15" s="38"/>
      <c r="V15" s="38"/>
      <c r="W15" s="38"/>
      <c r="X15" s="38"/>
      <c r="Y15" s="38"/>
      <c r="Z15" s="38"/>
    </row>
    <row r="16" customFormat="false" ht="78" hidden="false" customHeight="true" outlineLevel="0" collapsed="false">
      <c r="A16" s="66" t="n">
        <v>3</v>
      </c>
      <c r="B16" s="67" t="s">
        <v>174</v>
      </c>
      <c r="C16" s="68" t="s">
        <v>175</v>
      </c>
      <c r="D16" s="69" t="s">
        <v>176</v>
      </c>
      <c r="E16" s="69" t="s">
        <v>177</v>
      </c>
      <c r="F16" s="69" t="s">
        <v>178</v>
      </c>
      <c r="G16" s="70" t="str">
        <f aca="false">IF($L16="Aprobado","x","")</f>
        <v>x</v>
      </c>
      <c r="H16" s="70" t="str">
        <f aca="false">IF($L16="Fallido","x","")</f>
        <v/>
      </c>
      <c r="I16" s="70" t="str">
        <f aca="false">IF($L16="No aplica","x","")</f>
        <v/>
      </c>
      <c r="J16" s="71" t="s">
        <v>179</v>
      </c>
      <c r="K16" s="72" t="s">
        <v>165</v>
      </c>
      <c r="L16" s="73" t="s">
        <v>166</v>
      </c>
      <c r="M16" s="74"/>
      <c r="N16" s="74"/>
      <c r="O16" s="74"/>
      <c r="P16" s="74"/>
      <c r="Q16" s="74"/>
      <c r="R16" s="74"/>
      <c r="S16" s="74"/>
      <c r="T16" s="74"/>
      <c r="U16" s="38"/>
      <c r="V16" s="38"/>
      <c r="W16" s="38"/>
      <c r="X16" s="38"/>
      <c r="Y16" s="38"/>
      <c r="Z16" s="38"/>
    </row>
    <row r="17" customFormat="false" ht="78" hidden="false" customHeight="true" outlineLevel="0" collapsed="false">
      <c r="A17" s="66" t="n">
        <v>4</v>
      </c>
      <c r="B17" s="67" t="s">
        <v>174</v>
      </c>
      <c r="C17" s="68" t="s">
        <v>180</v>
      </c>
      <c r="D17" s="69" t="s">
        <v>181</v>
      </c>
      <c r="E17" s="69" t="s">
        <v>182</v>
      </c>
      <c r="F17" s="69" t="s">
        <v>183</v>
      </c>
      <c r="G17" s="70" t="str">
        <f aca="false">IF($L17="Aprobado","x","")</f>
        <v>x</v>
      </c>
      <c r="H17" s="70" t="str">
        <f aca="false">IF($L17="Fallido","x","")</f>
        <v/>
      </c>
      <c r="I17" s="70" t="str">
        <f aca="false">IF($L17="No aplica","x","")</f>
        <v/>
      </c>
      <c r="J17" s="71" t="s">
        <v>184</v>
      </c>
      <c r="K17" s="72" t="s">
        <v>165</v>
      </c>
      <c r="L17" s="73" t="s">
        <v>166</v>
      </c>
      <c r="M17" s="74"/>
      <c r="N17" s="74"/>
      <c r="O17" s="74"/>
      <c r="P17" s="74"/>
      <c r="Q17" s="74"/>
      <c r="R17" s="74"/>
      <c r="S17" s="74"/>
      <c r="T17" s="74"/>
      <c r="U17" s="38"/>
      <c r="V17" s="38"/>
      <c r="W17" s="38"/>
      <c r="X17" s="38"/>
      <c r="Y17" s="38"/>
      <c r="Z17" s="38"/>
    </row>
    <row r="18" customFormat="false" ht="78" hidden="false" customHeight="true" outlineLevel="0" collapsed="false">
      <c r="A18" s="66" t="n">
        <v>5</v>
      </c>
      <c r="B18" s="67" t="s">
        <v>185</v>
      </c>
      <c r="C18" s="68" t="s">
        <v>186</v>
      </c>
      <c r="D18" s="69" t="s">
        <v>187</v>
      </c>
      <c r="E18" s="69" t="s">
        <v>188</v>
      </c>
      <c r="F18" s="69" t="s">
        <v>189</v>
      </c>
      <c r="G18" s="70" t="str">
        <f aca="false">IF($L18="Aprobado","x","")</f>
        <v/>
      </c>
      <c r="H18" s="70" t="str">
        <f aca="false">IF($L18="Fallido","x","")</f>
        <v>x</v>
      </c>
      <c r="I18" s="70" t="str">
        <f aca="false">IF($L18="No aplica","x","")</f>
        <v/>
      </c>
      <c r="J18" s="71" t="s">
        <v>190</v>
      </c>
      <c r="K18" s="72" t="s">
        <v>191</v>
      </c>
      <c r="L18" s="73" t="s">
        <v>192</v>
      </c>
      <c r="M18" s="74"/>
      <c r="N18" s="74"/>
      <c r="O18" s="74"/>
      <c r="P18" s="74"/>
      <c r="Q18" s="74"/>
      <c r="R18" s="74"/>
      <c r="S18" s="74"/>
      <c r="T18" s="74"/>
      <c r="U18" s="38"/>
      <c r="V18" s="38"/>
      <c r="W18" s="38"/>
      <c r="X18" s="38"/>
      <c r="Y18" s="38"/>
      <c r="Z18" s="38"/>
    </row>
    <row r="19" customFormat="false" ht="78" hidden="false" customHeight="true" outlineLevel="0" collapsed="false">
      <c r="A19" s="66" t="n">
        <v>6</v>
      </c>
      <c r="B19" s="67" t="s">
        <v>185</v>
      </c>
      <c r="C19" s="68" t="s">
        <v>193</v>
      </c>
      <c r="D19" s="69" t="s">
        <v>194</v>
      </c>
      <c r="E19" s="69" t="s">
        <v>195</v>
      </c>
      <c r="F19" s="69" t="s">
        <v>196</v>
      </c>
      <c r="G19" s="70" t="str">
        <f aca="false">IF($L19="Aprobado","x","")</f>
        <v/>
      </c>
      <c r="H19" s="70" t="str">
        <f aca="false">IF($L19="Fallido","x","")</f>
        <v>x</v>
      </c>
      <c r="I19" s="70" t="str">
        <f aca="false">IF($L19="No aplica","x","")</f>
        <v/>
      </c>
      <c r="J19" s="71" t="s">
        <v>197</v>
      </c>
      <c r="K19" s="72" t="s">
        <v>198</v>
      </c>
      <c r="L19" s="73" t="s">
        <v>192</v>
      </c>
      <c r="M19" s="74"/>
      <c r="N19" s="74"/>
      <c r="O19" s="74"/>
      <c r="P19" s="74"/>
      <c r="Q19" s="74"/>
      <c r="R19" s="74"/>
      <c r="S19" s="74"/>
      <c r="T19" s="74"/>
      <c r="U19" s="38"/>
      <c r="V19" s="38"/>
      <c r="W19" s="38"/>
      <c r="X19" s="38"/>
      <c r="Y19" s="38"/>
      <c r="Z19" s="38"/>
    </row>
    <row r="20" customFormat="false" ht="78" hidden="false" customHeight="true" outlineLevel="0" collapsed="false">
      <c r="A20" s="66" t="n">
        <v>7</v>
      </c>
      <c r="B20" s="67" t="s">
        <v>185</v>
      </c>
      <c r="C20" s="68" t="s">
        <v>199</v>
      </c>
      <c r="D20" s="69" t="s">
        <v>200</v>
      </c>
      <c r="E20" s="69" t="s">
        <v>201</v>
      </c>
      <c r="F20" s="69" t="s">
        <v>202</v>
      </c>
      <c r="G20" s="70" t="str">
        <f aca="false">IF($L20="Aprobado","x","")</f>
        <v/>
      </c>
      <c r="H20" s="70" t="str">
        <f aca="false">IF($L20="Fallido","x","")</f>
        <v/>
      </c>
      <c r="I20" s="70" t="str">
        <f aca="false">IF($L20="No aplica","x","")</f>
        <v/>
      </c>
      <c r="J20" s="71" t="s">
        <v>203</v>
      </c>
      <c r="K20" s="72" t="s">
        <v>204</v>
      </c>
      <c r="L20" s="73" t="s">
        <v>205</v>
      </c>
      <c r="M20" s="74"/>
      <c r="N20" s="74"/>
      <c r="O20" s="74"/>
      <c r="P20" s="74"/>
      <c r="Q20" s="74"/>
      <c r="R20" s="74"/>
      <c r="S20" s="74"/>
      <c r="T20" s="74"/>
      <c r="U20" s="38"/>
      <c r="V20" s="38"/>
      <c r="W20" s="38"/>
      <c r="X20" s="38"/>
      <c r="Y20" s="38"/>
      <c r="Z20" s="38"/>
    </row>
    <row r="21" customFormat="false" ht="78" hidden="false" customHeight="true" outlineLevel="0" collapsed="false">
      <c r="A21" s="66" t="n">
        <v>8</v>
      </c>
      <c r="B21" s="67" t="s">
        <v>185</v>
      </c>
      <c r="C21" s="68" t="s">
        <v>206</v>
      </c>
      <c r="D21" s="69" t="s">
        <v>207</v>
      </c>
      <c r="E21" s="69" t="s">
        <v>208</v>
      </c>
      <c r="F21" s="69" t="s">
        <v>209</v>
      </c>
      <c r="G21" s="70" t="str">
        <f aca="false">IF($L21="Aprobado","x","")</f>
        <v>x</v>
      </c>
      <c r="H21" s="70" t="str">
        <f aca="false">IF($L21="Fallido","x","")</f>
        <v/>
      </c>
      <c r="I21" s="70" t="str">
        <f aca="false">IF($L21="No aplica","x","")</f>
        <v/>
      </c>
      <c r="J21" s="71" t="s">
        <v>210</v>
      </c>
      <c r="K21" s="72" t="s">
        <v>165</v>
      </c>
      <c r="L21" s="73" t="s">
        <v>166</v>
      </c>
      <c r="M21" s="74"/>
      <c r="N21" s="74"/>
      <c r="O21" s="74"/>
      <c r="P21" s="74"/>
      <c r="Q21" s="74"/>
      <c r="R21" s="74"/>
      <c r="S21" s="74"/>
      <c r="T21" s="74"/>
      <c r="U21" s="38"/>
      <c r="V21" s="38"/>
      <c r="W21" s="38"/>
      <c r="X21" s="38"/>
      <c r="Y21" s="38"/>
      <c r="Z21" s="38"/>
    </row>
    <row r="22" customFormat="false" ht="78" hidden="false" customHeight="true" outlineLevel="0" collapsed="false">
      <c r="A22" s="66" t="n">
        <v>9</v>
      </c>
      <c r="B22" s="67" t="s">
        <v>185</v>
      </c>
      <c r="C22" s="68" t="s">
        <v>211</v>
      </c>
      <c r="D22" s="69" t="s">
        <v>212</v>
      </c>
      <c r="E22" s="69" t="s">
        <v>213</v>
      </c>
      <c r="F22" s="69" t="s">
        <v>214</v>
      </c>
      <c r="G22" s="70" t="str">
        <f aca="false">IF($L22="Aprobado","x","")</f>
        <v>x</v>
      </c>
      <c r="H22" s="70" t="str">
        <f aca="false">IF($L22="Fallido","x","")</f>
        <v/>
      </c>
      <c r="I22" s="70" t="str">
        <f aca="false">IF($L22="No aplica","x","")</f>
        <v/>
      </c>
      <c r="J22" s="71" t="s">
        <v>215</v>
      </c>
      <c r="K22" s="72" t="s">
        <v>165</v>
      </c>
      <c r="L22" s="73" t="s">
        <v>166</v>
      </c>
      <c r="M22" s="74"/>
      <c r="N22" s="74"/>
      <c r="O22" s="74"/>
      <c r="P22" s="74"/>
      <c r="Q22" s="74"/>
      <c r="R22" s="74"/>
      <c r="S22" s="74"/>
      <c r="T22" s="74"/>
      <c r="U22" s="38"/>
      <c r="V22" s="38"/>
      <c r="W22" s="38"/>
      <c r="X22" s="38"/>
      <c r="Y22" s="38"/>
      <c r="Z22" s="38"/>
    </row>
    <row r="23" customFormat="false" ht="78" hidden="false" customHeight="true" outlineLevel="0" collapsed="false">
      <c r="A23" s="66" t="n">
        <v>10</v>
      </c>
      <c r="B23" s="67" t="s">
        <v>174</v>
      </c>
      <c r="C23" s="68" t="s">
        <v>216</v>
      </c>
      <c r="D23" s="69" t="s">
        <v>217</v>
      </c>
      <c r="E23" s="69" t="s">
        <v>218</v>
      </c>
      <c r="F23" s="69" t="s">
        <v>219</v>
      </c>
      <c r="G23" s="70" t="str">
        <f aca="false">IF($L23="Aprobado","x","")</f>
        <v>x</v>
      </c>
      <c r="H23" s="70" t="str">
        <f aca="false">IF($L23="Fallido","x","")</f>
        <v/>
      </c>
      <c r="I23" s="70" t="str">
        <f aca="false">IF($L23="No aplica","x","")</f>
        <v/>
      </c>
      <c r="J23" s="71" t="s">
        <v>220</v>
      </c>
      <c r="K23" s="72" t="s">
        <v>165</v>
      </c>
      <c r="L23" s="73" t="s">
        <v>166</v>
      </c>
      <c r="M23" s="74"/>
      <c r="N23" s="74"/>
      <c r="O23" s="74"/>
      <c r="P23" s="74"/>
      <c r="Q23" s="74"/>
      <c r="R23" s="74"/>
      <c r="S23" s="74"/>
      <c r="T23" s="74"/>
      <c r="U23" s="38"/>
      <c r="V23" s="38"/>
      <c r="W23" s="38"/>
      <c r="X23" s="38"/>
      <c r="Y23" s="38"/>
      <c r="Z23" s="38"/>
    </row>
    <row r="24" customFormat="false" ht="78" hidden="false" customHeight="true" outlineLevel="0" collapsed="false">
      <c r="A24" s="66" t="n">
        <v>11</v>
      </c>
      <c r="B24" s="67" t="s">
        <v>221</v>
      </c>
      <c r="C24" s="68" t="s">
        <v>222</v>
      </c>
      <c r="D24" s="69" t="s">
        <v>223</v>
      </c>
      <c r="E24" s="69" t="s">
        <v>224</v>
      </c>
      <c r="F24" s="69" t="s">
        <v>225</v>
      </c>
      <c r="G24" s="70" t="str">
        <f aca="false">IF($L24="Aprobado","x","")</f>
        <v/>
      </c>
      <c r="H24" s="70" t="str">
        <f aca="false">IF($L24="Fallido","x","")</f>
        <v/>
      </c>
      <c r="I24" s="70" t="str">
        <f aca="false">IF($L24="No aplica","x","")</f>
        <v/>
      </c>
      <c r="J24" s="71" t="s">
        <v>226</v>
      </c>
      <c r="K24" s="72" t="s">
        <v>165</v>
      </c>
      <c r="L24" s="73" t="s">
        <v>227</v>
      </c>
      <c r="M24" s="74"/>
      <c r="N24" s="74"/>
      <c r="O24" s="74"/>
      <c r="P24" s="74"/>
      <c r="Q24" s="74"/>
      <c r="R24" s="74"/>
      <c r="S24" s="74"/>
      <c r="T24" s="74"/>
      <c r="U24" s="38"/>
      <c r="V24" s="38"/>
      <c r="W24" s="38"/>
      <c r="X24" s="38"/>
      <c r="Y24" s="38"/>
      <c r="Z24" s="38"/>
    </row>
    <row r="25" customFormat="false" ht="78" hidden="false" customHeight="true" outlineLevel="0" collapsed="false">
      <c r="A25" s="66" t="n">
        <v>12</v>
      </c>
      <c r="B25" s="67" t="s">
        <v>228</v>
      </c>
      <c r="C25" s="68" t="s">
        <v>229</v>
      </c>
      <c r="D25" s="69" t="s">
        <v>230</v>
      </c>
      <c r="E25" s="69" t="s">
        <v>231</v>
      </c>
      <c r="F25" s="69" t="s">
        <v>232</v>
      </c>
      <c r="G25" s="70" t="str">
        <f aca="false">IF($L25="Aprobado","x","")</f>
        <v>x</v>
      </c>
      <c r="H25" s="70" t="str">
        <f aca="false">IF($L25="Fallido","x","")</f>
        <v/>
      </c>
      <c r="I25" s="70" t="str">
        <f aca="false">IF($L25="No aplica","x","")</f>
        <v/>
      </c>
      <c r="J25" s="71" t="s">
        <v>233</v>
      </c>
      <c r="K25" s="72" t="s">
        <v>234</v>
      </c>
      <c r="L25" s="73" t="s">
        <v>166</v>
      </c>
      <c r="M25" s="74"/>
      <c r="N25" s="74"/>
      <c r="O25" s="74"/>
      <c r="P25" s="74"/>
      <c r="Q25" s="74"/>
      <c r="R25" s="74"/>
      <c r="S25" s="74"/>
      <c r="T25" s="74"/>
      <c r="U25" s="38"/>
      <c r="V25" s="38"/>
      <c r="W25" s="38"/>
      <c r="X25" s="38"/>
      <c r="Y25" s="38"/>
      <c r="Z25" s="38"/>
    </row>
    <row r="26" customFormat="false" ht="78" hidden="false" customHeight="true" outlineLevel="0" collapsed="false">
      <c r="A26" s="66" t="n">
        <v>13</v>
      </c>
      <c r="B26" s="67" t="s">
        <v>228</v>
      </c>
      <c r="C26" s="68" t="s">
        <v>235</v>
      </c>
      <c r="D26" s="69" t="s">
        <v>236</v>
      </c>
      <c r="E26" s="69" t="s">
        <v>237</v>
      </c>
      <c r="F26" s="69" t="s">
        <v>238</v>
      </c>
      <c r="G26" s="70" t="str">
        <f aca="false">IF($L26="Aprobado","x","")</f>
        <v>x</v>
      </c>
      <c r="H26" s="70" t="str">
        <f aca="false">IF($L26="Fallido","x","")</f>
        <v/>
      </c>
      <c r="I26" s="70" t="str">
        <f aca="false">IF($L26="No aplica","x","")</f>
        <v/>
      </c>
      <c r="J26" s="71" t="s">
        <v>239</v>
      </c>
      <c r="K26" s="72" t="s">
        <v>234</v>
      </c>
      <c r="L26" s="73" t="s">
        <v>166</v>
      </c>
      <c r="M26" s="74"/>
      <c r="N26" s="74"/>
      <c r="O26" s="74"/>
      <c r="P26" s="74"/>
      <c r="Q26" s="74"/>
      <c r="R26" s="74"/>
      <c r="S26" s="74"/>
      <c r="T26" s="74"/>
      <c r="U26" s="38"/>
      <c r="V26" s="38"/>
      <c r="W26" s="38"/>
      <c r="X26" s="38"/>
      <c r="Y26" s="38"/>
      <c r="Z26" s="38"/>
    </row>
    <row r="27" customFormat="false" ht="78" hidden="false" customHeight="true" outlineLevel="0" collapsed="false">
      <c r="A27" s="66" t="n">
        <v>14</v>
      </c>
      <c r="B27" s="67" t="s">
        <v>228</v>
      </c>
      <c r="C27" s="68" t="s">
        <v>240</v>
      </c>
      <c r="D27" s="69" t="s">
        <v>241</v>
      </c>
      <c r="E27" s="69" t="s">
        <v>242</v>
      </c>
      <c r="F27" s="69" t="s">
        <v>243</v>
      </c>
      <c r="G27" s="70" t="str">
        <f aca="false">IF($L27="Aprobado","x","")</f>
        <v>x</v>
      </c>
      <c r="H27" s="70" t="str">
        <f aca="false">IF($L27="Fallido","x","")</f>
        <v/>
      </c>
      <c r="I27" s="70" t="str">
        <f aca="false">IF($L27="No aplica","x","")</f>
        <v/>
      </c>
      <c r="J27" s="71" t="s">
        <v>244</v>
      </c>
      <c r="K27" s="72" t="s">
        <v>234</v>
      </c>
      <c r="L27" s="73" t="s">
        <v>166</v>
      </c>
      <c r="M27" s="74"/>
      <c r="N27" s="74"/>
      <c r="O27" s="74"/>
      <c r="P27" s="74"/>
      <c r="Q27" s="74"/>
      <c r="R27" s="74"/>
      <c r="S27" s="74"/>
      <c r="T27" s="74"/>
      <c r="U27" s="38"/>
      <c r="V27" s="38"/>
      <c r="W27" s="38"/>
      <c r="X27" s="38"/>
      <c r="Y27" s="38"/>
      <c r="Z27" s="38"/>
    </row>
    <row r="28" customFormat="false" ht="78" hidden="false" customHeight="true" outlineLevel="0" collapsed="false">
      <c r="A28" s="66" t="n">
        <v>15</v>
      </c>
      <c r="B28" s="67" t="s">
        <v>228</v>
      </c>
      <c r="C28" s="68" t="s">
        <v>245</v>
      </c>
      <c r="D28" s="69" t="s">
        <v>246</v>
      </c>
      <c r="E28" s="69" t="s">
        <v>247</v>
      </c>
      <c r="F28" s="69" t="s">
        <v>248</v>
      </c>
      <c r="G28" s="70" t="str">
        <f aca="false">IF($L28="Aprobado","x","")</f>
        <v>x</v>
      </c>
      <c r="H28" s="70" t="str">
        <f aca="false">IF($L28="Fallido","x","")</f>
        <v/>
      </c>
      <c r="I28" s="70" t="str">
        <f aca="false">IF($L28="No aplica","x","")</f>
        <v/>
      </c>
      <c r="J28" s="71" t="s">
        <v>249</v>
      </c>
      <c r="K28" s="72" t="s">
        <v>234</v>
      </c>
      <c r="L28" s="73" t="s">
        <v>166</v>
      </c>
      <c r="M28" s="74"/>
      <c r="N28" s="74"/>
      <c r="O28" s="74"/>
      <c r="P28" s="74"/>
      <c r="Q28" s="74"/>
      <c r="R28" s="74"/>
      <c r="S28" s="74"/>
      <c r="T28" s="74"/>
      <c r="U28" s="38"/>
      <c r="V28" s="38"/>
      <c r="W28" s="38"/>
      <c r="X28" s="38"/>
      <c r="Y28" s="38"/>
      <c r="Z28" s="38"/>
    </row>
    <row r="29" customFormat="false" ht="78" hidden="false" customHeight="true" outlineLevel="0" collapsed="false">
      <c r="A29" s="66" t="n">
        <v>16</v>
      </c>
      <c r="B29" s="67" t="s">
        <v>228</v>
      </c>
      <c r="C29" s="68" t="s">
        <v>250</v>
      </c>
      <c r="D29" s="69" t="s">
        <v>251</v>
      </c>
      <c r="E29" s="69" t="s">
        <v>252</v>
      </c>
      <c r="F29" s="69" t="s">
        <v>253</v>
      </c>
      <c r="G29" s="70" t="str">
        <f aca="false">IF($L29="Aprobado","x","")</f>
        <v>x</v>
      </c>
      <c r="H29" s="70" t="str">
        <f aca="false">IF($L29="Fallido","x","")</f>
        <v/>
      </c>
      <c r="I29" s="70" t="str">
        <f aca="false">IF($L29="No aplica","x","")</f>
        <v/>
      </c>
      <c r="J29" s="71" t="s">
        <v>254</v>
      </c>
      <c r="K29" s="72" t="s">
        <v>234</v>
      </c>
      <c r="L29" s="73" t="s">
        <v>166</v>
      </c>
      <c r="M29" s="74"/>
      <c r="N29" s="74"/>
      <c r="O29" s="74"/>
      <c r="P29" s="74"/>
      <c r="Q29" s="74"/>
      <c r="R29" s="74"/>
      <c r="S29" s="74"/>
      <c r="T29" s="74"/>
      <c r="U29" s="38"/>
      <c r="V29" s="38"/>
      <c r="W29" s="38"/>
      <c r="X29" s="38"/>
      <c r="Y29" s="38"/>
      <c r="Z29" s="38"/>
    </row>
    <row r="30" customFormat="false" ht="78" hidden="false" customHeight="true" outlineLevel="0" collapsed="false">
      <c r="A30" s="66" t="n">
        <v>17</v>
      </c>
      <c r="B30" s="67" t="s">
        <v>228</v>
      </c>
      <c r="C30" s="68" t="s">
        <v>255</v>
      </c>
      <c r="D30" s="69" t="s">
        <v>256</v>
      </c>
      <c r="E30" s="69" t="s">
        <v>257</v>
      </c>
      <c r="F30" s="69" t="s">
        <v>258</v>
      </c>
      <c r="G30" s="70" t="str">
        <f aca="false">IF($L30="Aprobado","x","")</f>
        <v>x</v>
      </c>
      <c r="H30" s="70" t="str">
        <f aca="false">IF($L30="Fallido","x","")</f>
        <v/>
      </c>
      <c r="I30" s="70" t="str">
        <f aca="false">IF($L30="No aplica","x","")</f>
        <v/>
      </c>
      <c r="J30" s="71" t="s">
        <v>259</v>
      </c>
      <c r="K30" s="72" t="s">
        <v>260</v>
      </c>
      <c r="L30" s="73" t="s">
        <v>166</v>
      </c>
      <c r="M30" s="74"/>
      <c r="N30" s="74"/>
      <c r="O30" s="74"/>
      <c r="P30" s="74"/>
      <c r="Q30" s="74"/>
      <c r="R30" s="74"/>
      <c r="S30" s="74"/>
      <c r="T30" s="74"/>
      <c r="U30" s="38"/>
      <c r="V30" s="38"/>
      <c r="W30" s="38"/>
      <c r="X30" s="38"/>
      <c r="Y30" s="38"/>
      <c r="Z30" s="38"/>
    </row>
    <row r="31" customFormat="false" ht="78" hidden="false" customHeight="true" outlineLevel="0" collapsed="false">
      <c r="A31" s="66" t="n">
        <v>18</v>
      </c>
      <c r="B31" s="67" t="s">
        <v>228</v>
      </c>
      <c r="C31" s="68" t="s">
        <v>261</v>
      </c>
      <c r="D31" s="69" t="s">
        <v>262</v>
      </c>
      <c r="E31" s="69" t="s">
        <v>263</v>
      </c>
      <c r="F31" s="69" t="s">
        <v>264</v>
      </c>
      <c r="G31" s="70" t="str">
        <f aca="false">IF($L31="Aprobado","x","")</f>
        <v>x</v>
      </c>
      <c r="H31" s="70" t="str">
        <f aca="false">IF($L31="Fallido","x","")</f>
        <v/>
      </c>
      <c r="I31" s="70" t="str">
        <f aca="false">IF($L31="No aplica","x","")</f>
        <v/>
      </c>
      <c r="J31" s="71" t="s">
        <v>265</v>
      </c>
      <c r="K31" s="72" t="s">
        <v>234</v>
      </c>
      <c r="L31" s="73" t="s">
        <v>166</v>
      </c>
      <c r="M31" s="74"/>
      <c r="N31" s="74"/>
      <c r="O31" s="74"/>
      <c r="P31" s="74"/>
      <c r="Q31" s="74"/>
      <c r="R31" s="74"/>
      <c r="S31" s="74"/>
      <c r="T31" s="74"/>
      <c r="U31" s="38"/>
      <c r="V31" s="38"/>
      <c r="W31" s="38"/>
      <c r="X31" s="38"/>
      <c r="Y31" s="38"/>
      <c r="Z31" s="38"/>
    </row>
    <row r="32" customFormat="false" ht="78" hidden="false" customHeight="true" outlineLevel="0" collapsed="false">
      <c r="A32" s="66" t="n">
        <v>19</v>
      </c>
      <c r="B32" s="67" t="s">
        <v>266</v>
      </c>
      <c r="C32" s="68" t="s">
        <v>267</v>
      </c>
      <c r="D32" s="69" t="s">
        <v>268</v>
      </c>
      <c r="E32" s="69" t="s">
        <v>269</v>
      </c>
      <c r="F32" s="69" t="s">
        <v>270</v>
      </c>
      <c r="G32" s="70" t="str">
        <f aca="false">IF($L32="Aprobado","x","")</f>
        <v>x</v>
      </c>
      <c r="H32" s="70" t="str">
        <f aca="false">IF($L32="Fallido","x","")</f>
        <v/>
      </c>
      <c r="I32" s="70" t="str">
        <f aca="false">IF($L32="No aplica","x","")</f>
        <v/>
      </c>
      <c r="J32" s="71" t="s">
        <v>271</v>
      </c>
      <c r="K32" s="72" t="s">
        <v>234</v>
      </c>
      <c r="L32" s="73" t="s">
        <v>166</v>
      </c>
      <c r="M32" s="74"/>
      <c r="N32" s="74"/>
      <c r="O32" s="74"/>
      <c r="P32" s="74"/>
      <c r="Q32" s="74"/>
      <c r="R32" s="74"/>
      <c r="S32" s="74"/>
      <c r="T32" s="74"/>
      <c r="U32" s="38"/>
      <c r="V32" s="38"/>
      <c r="W32" s="38"/>
      <c r="X32" s="38"/>
      <c r="Y32" s="38"/>
      <c r="Z32" s="38"/>
    </row>
    <row r="33" customFormat="false" ht="78" hidden="false" customHeight="true" outlineLevel="0" collapsed="false">
      <c r="A33" s="66" t="n">
        <v>20</v>
      </c>
      <c r="B33" s="67" t="s">
        <v>266</v>
      </c>
      <c r="C33" s="68" t="s">
        <v>272</v>
      </c>
      <c r="D33" s="69" t="s">
        <v>273</v>
      </c>
      <c r="E33" s="69" t="s">
        <v>274</v>
      </c>
      <c r="F33" s="69" t="s">
        <v>275</v>
      </c>
      <c r="G33" s="70" t="str">
        <f aca="false">IF($L33="Aprobado","x","")</f>
        <v/>
      </c>
      <c r="H33" s="70" t="str">
        <f aca="false">IF($L33="Fallido","x","")</f>
        <v/>
      </c>
      <c r="I33" s="70" t="str">
        <f aca="false">IF($L33="No aplica","x","")</f>
        <v/>
      </c>
      <c r="J33" s="71" t="s">
        <v>276</v>
      </c>
      <c r="K33" s="72" t="s">
        <v>234</v>
      </c>
      <c r="L33" s="73" t="s">
        <v>227</v>
      </c>
      <c r="M33" s="74"/>
      <c r="N33" s="74"/>
      <c r="O33" s="74"/>
      <c r="P33" s="74"/>
      <c r="Q33" s="74"/>
      <c r="R33" s="74"/>
      <c r="S33" s="74"/>
      <c r="T33" s="74"/>
      <c r="U33" s="38"/>
      <c r="V33" s="38"/>
      <c r="W33" s="38"/>
      <c r="X33" s="38"/>
      <c r="Y33" s="38"/>
      <c r="Z33" s="38"/>
    </row>
    <row r="34" customFormat="false" ht="78" hidden="false" customHeight="true" outlineLevel="0" collapsed="false">
      <c r="A34" s="66" t="n">
        <v>21</v>
      </c>
      <c r="B34" s="67" t="s">
        <v>266</v>
      </c>
      <c r="C34" s="68" t="s">
        <v>277</v>
      </c>
      <c r="D34" s="69" t="s">
        <v>278</v>
      </c>
      <c r="E34" s="69" t="s">
        <v>279</v>
      </c>
      <c r="F34" s="69" t="s">
        <v>280</v>
      </c>
      <c r="G34" s="70" t="str">
        <f aca="false">IF($L34="Aprobado","x","")</f>
        <v/>
      </c>
      <c r="H34" s="70" t="str">
        <f aca="false">IF($L34="Fallido","x","")</f>
        <v/>
      </c>
      <c r="I34" s="70" t="str">
        <f aca="false">IF($L34="No aplica","x","")</f>
        <v/>
      </c>
      <c r="J34" s="71" t="s">
        <v>281</v>
      </c>
      <c r="K34" s="72" t="s">
        <v>234</v>
      </c>
      <c r="L34" s="73" t="s">
        <v>227</v>
      </c>
      <c r="M34" s="74"/>
      <c r="N34" s="74"/>
      <c r="O34" s="74"/>
      <c r="P34" s="74"/>
      <c r="Q34" s="74"/>
      <c r="R34" s="74"/>
      <c r="S34" s="74"/>
      <c r="T34" s="74"/>
      <c r="U34" s="38"/>
      <c r="V34" s="38"/>
      <c r="W34" s="38"/>
      <c r="X34" s="38"/>
      <c r="Y34" s="38"/>
      <c r="Z34" s="38"/>
    </row>
    <row r="35" customFormat="false" ht="78" hidden="false" customHeight="true" outlineLevel="0" collapsed="false">
      <c r="A35" s="66" t="n">
        <v>22</v>
      </c>
      <c r="B35" s="67" t="s">
        <v>266</v>
      </c>
      <c r="C35" s="68" t="s">
        <v>282</v>
      </c>
      <c r="D35" s="69" t="s">
        <v>283</v>
      </c>
      <c r="E35" s="69" t="s">
        <v>284</v>
      </c>
      <c r="F35" s="69" t="s">
        <v>285</v>
      </c>
      <c r="G35" s="70" t="str">
        <f aca="false">IF($L35="Aprobado","x","")</f>
        <v/>
      </c>
      <c r="H35" s="70" t="str">
        <f aca="false">IF($L35="Fallido","x","")</f>
        <v/>
      </c>
      <c r="I35" s="70" t="str">
        <f aca="false">IF($L35="No aplica","x","")</f>
        <v/>
      </c>
      <c r="J35" s="71" t="s">
        <v>286</v>
      </c>
      <c r="K35" s="72" t="s">
        <v>234</v>
      </c>
      <c r="L35" s="73" t="s">
        <v>227</v>
      </c>
      <c r="M35" s="74"/>
      <c r="N35" s="74"/>
      <c r="O35" s="74"/>
      <c r="P35" s="74"/>
      <c r="Q35" s="74"/>
      <c r="R35" s="74"/>
      <c r="S35" s="74"/>
      <c r="T35" s="74"/>
      <c r="U35" s="38"/>
      <c r="V35" s="38"/>
      <c r="W35" s="38"/>
      <c r="X35" s="38"/>
      <c r="Y35" s="38"/>
      <c r="Z35" s="38"/>
    </row>
    <row r="36" customFormat="false" ht="78" hidden="false" customHeight="true" outlineLevel="0" collapsed="false">
      <c r="A36" s="66" t="n">
        <v>23</v>
      </c>
      <c r="B36" s="67" t="s">
        <v>266</v>
      </c>
      <c r="C36" s="68" t="s">
        <v>287</v>
      </c>
      <c r="D36" s="69" t="s">
        <v>288</v>
      </c>
      <c r="E36" s="69" t="s">
        <v>289</v>
      </c>
      <c r="F36" s="69" t="s">
        <v>290</v>
      </c>
      <c r="G36" s="70" t="str">
        <f aca="false">IF($L36="Aprobado","x","")</f>
        <v>x</v>
      </c>
      <c r="H36" s="70" t="str">
        <f aca="false">IF($L36="Fallido","x","")</f>
        <v/>
      </c>
      <c r="I36" s="70" t="str">
        <f aca="false">IF($L36="No aplica","x","")</f>
        <v/>
      </c>
      <c r="J36" s="71" t="s">
        <v>291</v>
      </c>
      <c r="K36" s="72" t="s">
        <v>292</v>
      </c>
      <c r="L36" s="73" t="s">
        <v>166</v>
      </c>
      <c r="M36" s="74"/>
      <c r="N36" s="74"/>
      <c r="O36" s="74"/>
      <c r="P36" s="74"/>
      <c r="Q36" s="74"/>
      <c r="R36" s="74"/>
      <c r="S36" s="74"/>
      <c r="T36" s="74"/>
      <c r="U36" s="38"/>
      <c r="V36" s="38"/>
      <c r="W36" s="38"/>
      <c r="X36" s="38"/>
      <c r="Y36" s="38"/>
      <c r="Z36" s="38"/>
    </row>
    <row r="37" customFormat="false" ht="78" hidden="false" customHeight="true" outlineLevel="0" collapsed="false">
      <c r="A37" s="66" t="n">
        <v>24</v>
      </c>
      <c r="B37" s="67" t="s">
        <v>266</v>
      </c>
      <c r="C37" s="68" t="s">
        <v>293</v>
      </c>
      <c r="D37" s="69" t="s">
        <v>294</v>
      </c>
      <c r="E37" s="69" t="s">
        <v>295</v>
      </c>
      <c r="F37" s="69" t="s">
        <v>296</v>
      </c>
      <c r="G37" s="70" t="str">
        <f aca="false">IF($L37="Aprobado","x","")</f>
        <v/>
      </c>
      <c r="H37" s="70" t="str">
        <f aca="false">IF($L37="Fallido","x","")</f>
        <v/>
      </c>
      <c r="I37" s="70" t="str">
        <f aca="false">IF($L37="No aplica","x","")</f>
        <v/>
      </c>
      <c r="J37" s="71" t="s">
        <v>297</v>
      </c>
      <c r="K37" s="72" t="s">
        <v>292</v>
      </c>
      <c r="L37" s="73" t="s">
        <v>205</v>
      </c>
      <c r="M37" s="74"/>
      <c r="N37" s="74"/>
      <c r="O37" s="74"/>
      <c r="P37" s="74"/>
      <c r="Q37" s="74"/>
      <c r="R37" s="74"/>
      <c r="S37" s="74"/>
      <c r="T37" s="74"/>
      <c r="U37" s="38"/>
      <c r="V37" s="38"/>
      <c r="W37" s="38"/>
      <c r="X37" s="38"/>
      <c r="Y37" s="38"/>
      <c r="Z37" s="38"/>
    </row>
    <row r="38" customFormat="false" ht="78" hidden="false" customHeight="true" outlineLevel="0" collapsed="false">
      <c r="A38" s="66" t="n">
        <v>25</v>
      </c>
      <c r="B38" s="67" t="s">
        <v>266</v>
      </c>
      <c r="C38" s="68" t="s">
        <v>298</v>
      </c>
      <c r="D38" s="69" t="s">
        <v>299</v>
      </c>
      <c r="E38" s="69" t="s">
        <v>300</v>
      </c>
      <c r="F38" s="69" t="s">
        <v>301</v>
      </c>
      <c r="G38" s="70" t="str">
        <f aca="false">IF($L38="Aprobado","x","")</f>
        <v>x</v>
      </c>
      <c r="H38" s="70" t="str">
        <f aca="false">IF($L38="Fallido","x","")</f>
        <v/>
      </c>
      <c r="I38" s="70" t="str">
        <f aca="false">IF($L38="No aplica","x","")</f>
        <v/>
      </c>
      <c r="J38" s="71" t="s">
        <v>302</v>
      </c>
      <c r="K38" s="72" t="s">
        <v>303</v>
      </c>
      <c r="L38" s="73" t="s">
        <v>166</v>
      </c>
      <c r="M38" s="74"/>
      <c r="N38" s="74"/>
      <c r="O38" s="74"/>
      <c r="P38" s="74"/>
      <c r="Q38" s="74"/>
      <c r="R38" s="74"/>
      <c r="S38" s="74"/>
      <c r="T38" s="74"/>
      <c r="U38" s="38"/>
      <c r="V38" s="38"/>
      <c r="W38" s="38"/>
      <c r="X38" s="38"/>
      <c r="Y38" s="38"/>
      <c r="Z38" s="38"/>
    </row>
    <row r="39" customFormat="false" ht="78" hidden="false" customHeight="true" outlineLevel="0" collapsed="false">
      <c r="A39" s="66" t="n">
        <v>26</v>
      </c>
      <c r="B39" s="67" t="s">
        <v>266</v>
      </c>
      <c r="C39" s="68" t="s">
        <v>304</v>
      </c>
      <c r="D39" s="69" t="s">
        <v>305</v>
      </c>
      <c r="E39" s="69" t="s">
        <v>306</v>
      </c>
      <c r="F39" s="69" t="s">
        <v>307</v>
      </c>
      <c r="G39" s="70" t="str">
        <f aca="false">IF($L39="Aprobado","x","")</f>
        <v/>
      </c>
      <c r="H39" s="70" t="str">
        <f aca="false">IF($L39="Fallido","x","")</f>
        <v/>
      </c>
      <c r="I39" s="70" t="str">
        <f aca="false">IF($L39="No aplica","x","")</f>
        <v/>
      </c>
      <c r="J39" s="71" t="s">
        <v>308</v>
      </c>
      <c r="K39" s="72" t="s">
        <v>292</v>
      </c>
      <c r="L39" s="73" t="s">
        <v>205</v>
      </c>
      <c r="M39" s="74"/>
      <c r="N39" s="74"/>
      <c r="O39" s="74"/>
      <c r="P39" s="74"/>
      <c r="Q39" s="74"/>
      <c r="R39" s="74"/>
      <c r="S39" s="74"/>
      <c r="T39" s="74"/>
      <c r="U39" s="38"/>
      <c r="V39" s="38"/>
      <c r="W39" s="38"/>
      <c r="X39" s="38"/>
      <c r="Y39" s="38"/>
      <c r="Z39" s="38"/>
    </row>
    <row r="40" customFormat="false" ht="78" hidden="false" customHeight="true" outlineLevel="0" collapsed="false">
      <c r="A40" s="66" t="n">
        <v>27</v>
      </c>
      <c r="B40" s="67" t="s">
        <v>309</v>
      </c>
      <c r="C40" s="68" t="s">
        <v>310</v>
      </c>
      <c r="D40" s="69" t="s">
        <v>311</v>
      </c>
      <c r="E40" s="69" t="s">
        <v>312</v>
      </c>
      <c r="F40" s="69" t="s">
        <v>313</v>
      </c>
      <c r="G40" s="70" t="str">
        <f aca="false">IF($L40="Aprobado","x","")</f>
        <v>x</v>
      </c>
      <c r="H40" s="70" t="str">
        <f aca="false">IF($L40="Fallido","x","")</f>
        <v/>
      </c>
      <c r="I40" s="70" t="str">
        <f aca="false">IF($L40="No aplica","x","")</f>
        <v/>
      </c>
      <c r="J40" s="71" t="s">
        <v>314</v>
      </c>
      <c r="K40" s="72" t="s">
        <v>234</v>
      </c>
      <c r="L40" s="73" t="s">
        <v>166</v>
      </c>
      <c r="M40" s="74"/>
      <c r="N40" s="74"/>
      <c r="O40" s="74"/>
      <c r="P40" s="74"/>
      <c r="Q40" s="74"/>
      <c r="R40" s="74"/>
      <c r="S40" s="74"/>
      <c r="T40" s="74"/>
      <c r="U40" s="38"/>
      <c r="V40" s="38"/>
      <c r="W40" s="38"/>
      <c r="X40" s="38"/>
      <c r="Y40" s="38"/>
      <c r="Z40" s="38"/>
    </row>
    <row r="41" customFormat="false" ht="78" hidden="false" customHeight="true" outlineLevel="0" collapsed="false">
      <c r="A41" s="66" t="n">
        <v>28</v>
      </c>
      <c r="B41" s="67" t="s">
        <v>309</v>
      </c>
      <c r="C41" s="68" t="s">
        <v>315</v>
      </c>
      <c r="D41" s="69" t="s">
        <v>316</v>
      </c>
      <c r="E41" s="69" t="s">
        <v>317</v>
      </c>
      <c r="F41" s="69" t="s">
        <v>318</v>
      </c>
      <c r="G41" s="70" t="str">
        <f aca="false">IF($L41="Aprobado","x","")</f>
        <v>x</v>
      </c>
      <c r="H41" s="70" t="str">
        <f aca="false">IF($L41="Fallido","x","")</f>
        <v/>
      </c>
      <c r="I41" s="70" t="str">
        <f aca="false">IF($L41="No aplica","x","")</f>
        <v/>
      </c>
      <c r="J41" s="71" t="s">
        <v>319</v>
      </c>
      <c r="K41" s="72" t="s">
        <v>234</v>
      </c>
      <c r="L41" s="73" t="s">
        <v>166</v>
      </c>
      <c r="M41" s="74"/>
      <c r="N41" s="74"/>
      <c r="O41" s="74"/>
      <c r="P41" s="74"/>
      <c r="Q41" s="74"/>
      <c r="R41" s="74"/>
      <c r="S41" s="74"/>
      <c r="T41" s="74"/>
      <c r="U41" s="38"/>
      <c r="V41" s="38"/>
      <c r="W41" s="38"/>
      <c r="X41" s="38"/>
      <c r="Y41" s="38"/>
      <c r="Z41" s="38"/>
    </row>
    <row r="42" customFormat="false" ht="78" hidden="false" customHeight="true" outlineLevel="0" collapsed="false">
      <c r="A42" s="66" t="n">
        <v>29</v>
      </c>
      <c r="B42" s="67" t="s">
        <v>320</v>
      </c>
      <c r="C42" s="68" t="s">
        <v>321</v>
      </c>
      <c r="D42" s="69" t="s">
        <v>322</v>
      </c>
      <c r="E42" s="69" t="s">
        <v>323</v>
      </c>
      <c r="F42" s="69" t="s">
        <v>324</v>
      </c>
      <c r="G42" s="70" t="str">
        <f aca="false">IF($L42="Aprobado","x","")</f>
        <v>x</v>
      </c>
      <c r="H42" s="70" t="str">
        <f aca="false">IF($L42="Fallido","x","")</f>
        <v/>
      </c>
      <c r="I42" s="70" t="str">
        <f aca="false">IF($L42="No aplica","x","")</f>
        <v/>
      </c>
      <c r="J42" s="71" t="s">
        <v>325</v>
      </c>
      <c r="K42" s="72" t="s">
        <v>165</v>
      </c>
      <c r="L42" s="73" t="s">
        <v>166</v>
      </c>
      <c r="M42" s="74"/>
      <c r="N42" s="74"/>
      <c r="O42" s="74"/>
      <c r="P42" s="74"/>
      <c r="Q42" s="74"/>
      <c r="R42" s="74"/>
      <c r="S42" s="74"/>
      <c r="T42" s="74"/>
      <c r="U42" s="38"/>
      <c r="V42" s="38"/>
      <c r="W42" s="38"/>
      <c r="X42" s="38"/>
      <c r="Y42" s="38"/>
      <c r="Z42" s="38"/>
    </row>
    <row r="43" customFormat="false" ht="78" hidden="false" customHeight="true" outlineLevel="0" collapsed="false">
      <c r="A43" s="66" t="n">
        <v>30</v>
      </c>
      <c r="B43" s="67" t="s">
        <v>326</v>
      </c>
      <c r="C43" s="68" t="s">
        <v>327</v>
      </c>
      <c r="D43" s="69" t="s">
        <v>328</v>
      </c>
      <c r="E43" s="69" t="s">
        <v>329</v>
      </c>
      <c r="F43" s="69" t="s">
        <v>330</v>
      </c>
      <c r="G43" s="70" t="str">
        <f aca="false">IF($L43="Aprobado","x","")</f>
        <v>x</v>
      </c>
      <c r="H43" s="70" t="str">
        <f aca="false">IF($L43="Fallido","x","")</f>
        <v/>
      </c>
      <c r="I43" s="70" t="str">
        <f aca="false">IF($L43="No aplica","x","")</f>
        <v/>
      </c>
      <c r="J43" s="71" t="s">
        <v>331</v>
      </c>
      <c r="K43" s="72" t="s">
        <v>332</v>
      </c>
      <c r="L43" s="73" t="s">
        <v>166</v>
      </c>
      <c r="M43" s="74"/>
      <c r="N43" s="74"/>
      <c r="O43" s="74"/>
      <c r="P43" s="74"/>
      <c r="Q43" s="74"/>
      <c r="R43" s="74"/>
      <c r="S43" s="74"/>
      <c r="T43" s="74"/>
      <c r="U43" s="38"/>
      <c r="V43" s="38"/>
      <c r="W43" s="38"/>
      <c r="X43" s="38"/>
      <c r="Y43" s="38"/>
      <c r="Z43" s="38"/>
    </row>
    <row r="44" customFormat="false" ht="78" hidden="false" customHeight="true" outlineLevel="0" collapsed="false">
      <c r="A44" s="66" t="n">
        <v>31</v>
      </c>
      <c r="B44" s="67" t="s">
        <v>333</v>
      </c>
      <c r="C44" s="68" t="s">
        <v>334</v>
      </c>
      <c r="D44" s="69" t="s">
        <v>335</v>
      </c>
      <c r="E44" s="69" t="s">
        <v>336</v>
      </c>
      <c r="F44" s="69" t="s">
        <v>337</v>
      </c>
      <c r="G44" s="70" t="str">
        <f aca="false">IF($L44="Aprobado","x","")</f>
        <v>x</v>
      </c>
      <c r="H44" s="70" t="str">
        <f aca="false">IF($L44="Fallido","x","")</f>
        <v/>
      </c>
      <c r="I44" s="70" t="str">
        <f aca="false">IF($L44="No aplica","x","")</f>
        <v/>
      </c>
      <c r="J44" s="71" t="s">
        <v>338</v>
      </c>
      <c r="K44" s="72" t="s">
        <v>339</v>
      </c>
      <c r="L44" s="73" t="s">
        <v>166</v>
      </c>
      <c r="M44" s="74"/>
      <c r="N44" s="74"/>
      <c r="O44" s="74"/>
      <c r="P44" s="74"/>
      <c r="Q44" s="74"/>
      <c r="R44" s="74"/>
      <c r="S44" s="74"/>
      <c r="T44" s="74"/>
      <c r="U44" s="38"/>
      <c r="V44" s="38"/>
      <c r="W44" s="38"/>
      <c r="X44" s="38"/>
      <c r="Y44" s="38"/>
      <c r="Z44" s="38"/>
    </row>
    <row r="45" customFormat="false" ht="78" hidden="false" customHeight="true" outlineLevel="0" collapsed="false">
      <c r="A45" s="66" t="n">
        <v>32</v>
      </c>
      <c r="B45" s="67" t="s">
        <v>340</v>
      </c>
      <c r="C45" s="68" t="s">
        <v>341</v>
      </c>
      <c r="D45" s="69" t="s">
        <v>342</v>
      </c>
      <c r="E45" s="69" t="s">
        <v>343</v>
      </c>
      <c r="F45" s="69" t="s">
        <v>344</v>
      </c>
      <c r="G45" s="70" t="str">
        <f aca="false">IF($L45="Aprobado","x","")</f>
        <v>x</v>
      </c>
      <c r="H45" s="70" t="str">
        <f aca="false">IF($L45="Fallido","x","")</f>
        <v/>
      </c>
      <c r="I45" s="70" t="str">
        <f aca="false">IF($L45="No aplica","x","")</f>
        <v/>
      </c>
      <c r="J45" s="71" t="s">
        <v>345</v>
      </c>
      <c r="K45" s="72" t="s">
        <v>346</v>
      </c>
      <c r="L45" s="73" t="s">
        <v>166</v>
      </c>
      <c r="M45" s="74"/>
      <c r="N45" s="74"/>
      <c r="O45" s="74"/>
      <c r="P45" s="74"/>
      <c r="Q45" s="74"/>
      <c r="R45" s="74"/>
      <c r="S45" s="74"/>
      <c r="T45" s="74"/>
      <c r="U45" s="38"/>
      <c r="V45" s="38"/>
      <c r="W45" s="38"/>
      <c r="X45" s="38"/>
      <c r="Y45" s="38"/>
      <c r="Z45" s="38"/>
    </row>
    <row r="46" customFormat="false" ht="78" hidden="false" customHeight="true" outlineLevel="0" collapsed="false">
      <c r="A46" s="66" t="n">
        <v>33</v>
      </c>
      <c r="B46" s="67" t="s">
        <v>347</v>
      </c>
      <c r="C46" s="68" t="s">
        <v>348</v>
      </c>
      <c r="D46" s="69" t="s">
        <v>349</v>
      </c>
      <c r="E46" s="69" t="s">
        <v>350</v>
      </c>
      <c r="F46" s="69" t="s">
        <v>351</v>
      </c>
      <c r="G46" s="70" t="str">
        <f aca="false">IF($L46="Aprobado","x","")</f>
        <v>x</v>
      </c>
      <c r="H46" s="70" t="str">
        <f aca="false">IF($L46="Fallido","x","")</f>
        <v/>
      </c>
      <c r="I46" s="70" t="str">
        <f aca="false">IF($L46="No aplica","x","")</f>
        <v/>
      </c>
      <c r="J46" s="71" t="s">
        <v>352</v>
      </c>
      <c r="K46" s="72" t="s">
        <v>165</v>
      </c>
      <c r="L46" s="73" t="s">
        <v>166</v>
      </c>
      <c r="M46" s="74"/>
      <c r="N46" s="74"/>
      <c r="O46" s="74"/>
      <c r="P46" s="74"/>
      <c r="Q46" s="74"/>
      <c r="R46" s="74"/>
      <c r="S46" s="74"/>
      <c r="T46" s="74"/>
      <c r="U46" s="38"/>
      <c r="V46" s="38"/>
      <c r="W46" s="38"/>
      <c r="X46" s="38"/>
      <c r="Y46" s="38"/>
      <c r="Z46" s="38"/>
    </row>
    <row r="47" customFormat="false" ht="78" hidden="false" customHeight="true" outlineLevel="0" collapsed="false">
      <c r="A47" s="66" t="n">
        <v>34</v>
      </c>
      <c r="B47" s="67" t="s">
        <v>353</v>
      </c>
      <c r="C47" s="68" t="s">
        <v>354</v>
      </c>
      <c r="D47" s="69" t="s">
        <v>355</v>
      </c>
      <c r="E47" s="69" t="s">
        <v>356</v>
      </c>
      <c r="F47" s="69" t="s">
        <v>357</v>
      </c>
      <c r="G47" s="70" t="str">
        <f aca="false">IF($L47="Aprobado","x","")</f>
        <v>x</v>
      </c>
      <c r="H47" s="70" t="str">
        <f aca="false">IF($L47="Fallido","x","")</f>
        <v/>
      </c>
      <c r="I47" s="70" t="str">
        <f aca="false">IF($L47="No aplica","x","")</f>
        <v/>
      </c>
      <c r="J47" s="71" t="s">
        <v>358</v>
      </c>
      <c r="K47" s="72" t="s">
        <v>359</v>
      </c>
      <c r="L47" s="73" t="s">
        <v>166</v>
      </c>
      <c r="M47" s="74"/>
      <c r="N47" s="74"/>
      <c r="O47" s="74"/>
      <c r="P47" s="74"/>
      <c r="Q47" s="74"/>
      <c r="R47" s="74"/>
      <c r="S47" s="74"/>
      <c r="T47" s="74"/>
      <c r="U47" s="38"/>
      <c r="V47" s="38"/>
      <c r="W47" s="38"/>
      <c r="X47" s="38"/>
      <c r="Y47" s="38"/>
      <c r="Z47" s="38"/>
    </row>
    <row r="48" customFormat="false" ht="78" hidden="false" customHeight="true" outlineLevel="0" collapsed="false">
      <c r="A48" s="66" t="n">
        <v>35</v>
      </c>
      <c r="B48" s="67" t="s">
        <v>360</v>
      </c>
      <c r="C48" s="68" t="s">
        <v>361</v>
      </c>
      <c r="D48" s="69" t="s">
        <v>362</v>
      </c>
      <c r="E48" s="69" t="s">
        <v>363</v>
      </c>
      <c r="F48" s="69" t="s">
        <v>364</v>
      </c>
      <c r="G48" s="70" t="str">
        <f aca="false">IF($L48="Aprobado","x","")</f>
        <v>x</v>
      </c>
      <c r="H48" s="70" t="str">
        <f aca="false">IF($L48="Fallido","x","")</f>
        <v/>
      </c>
      <c r="I48" s="70" t="str">
        <f aca="false">IF($L48="No aplica","x","")</f>
        <v/>
      </c>
      <c r="J48" s="71" t="s">
        <v>365</v>
      </c>
      <c r="K48" s="72" t="s">
        <v>346</v>
      </c>
      <c r="L48" s="73" t="s">
        <v>166</v>
      </c>
      <c r="M48" s="74"/>
      <c r="N48" s="74"/>
      <c r="O48" s="74"/>
      <c r="P48" s="74"/>
      <c r="Q48" s="74"/>
      <c r="R48" s="74"/>
      <c r="S48" s="74"/>
      <c r="T48" s="74"/>
      <c r="U48" s="38"/>
      <c r="V48" s="38"/>
      <c r="W48" s="38"/>
      <c r="X48" s="38"/>
      <c r="Y48" s="38"/>
      <c r="Z48" s="38"/>
    </row>
    <row r="49" customFormat="false" ht="78" hidden="false" customHeight="true" outlineLevel="0" collapsed="false">
      <c r="A49" s="66" t="n">
        <v>36</v>
      </c>
      <c r="B49" s="67" t="s">
        <v>360</v>
      </c>
      <c r="C49" s="68" t="s">
        <v>366</v>
      </c>
      <c r="D49" s="69" t="s">
        <v>367</v>
      </c>
      <c r="E49" s="69" t="s">
        <v>368</v>
      </c>
      <c r="F49" s="69" t="s">
        <v>369</v>
      </c>
      <c r="G49" s="70" t="str">
        <f aca="false">IF($L49="Aprobado","x","")</f>
        <v>x</v>
      </c>
      <c r="H49" s="70" t="str">
        <f aca="false">IF($L49="Fallido","x","")</f>
        <v/>
      </c>
      <c r="I49" s="70" t="str">
        <f aca="false">IF($L49="No aplica","x","")</f>
        <v/>
      </c>
      <c r="J49" s="71" t="s">
        <v>370</v>
      </c>
      <c r="K49" s="72" t="s">
        <v>371</v>
      </c>
      <c r="L49" s="73" t="s">
        <v>166</v>
      </c>
      <c r="M49" s="74"/>
      <c r="N49" s="74"/>
      <c r="O49" s="74"/>
      <c r="P49" s="74"/>
      <c r="Q49" s="74"/>
      <c r="R49" s="74"/>
      <c r="S49" s="74"/>
      <c r="T49" s="74"/>
      <c r="U49" s="38"/>
      <c r="V49" s="38"/>
      <c r="W49" s="38"/>
      <c r="X49" s="38"/>
      <c r="Y49" s="38"/>
      <c r="Z49" s="38"/>
    </row>
    <row r="50" customFormat="false" ht="78" hidden="false" customHeight="true" outlineLevel="0" collapsed="false">
      <c r="A50" s="66" t="n">
        <v>37</v>
      </c>
      <c r="B50" s="67" t="s">
        <v>360</v>
      </c>
      <c r="C50" s="68" t="s">
        <v>372</v>
      </c>
      <c r="D50" s="69" t="s">
        <v>373</v>
      </c>
      <c r="E50" s="69" t="s">
        <v>374</v>
      </c>
      <c r="F50" s="69" t="s">
        <v>375</v>
      </c>
      <c r="G50" s="70" t="str">
        <f aca="false">IF($L50="Aprobado","x","")</f>
        <v>x</v>
      </c>
      <c r="H50" s="70" t="str">
        <f aca="false">IF($L50="Fallido","x","")</f>
        <v/>
      </c>
      <c r="I50" s="70" t="str">
        <f aca="false">IF($L50="No aplica","x","")</f>
        <v/>
      </c>
      <c r="J50" s="71" t="s">
        <v>376</v>
      </c>
      <c r="K50" s="72" t="s">
        <v>377</v>
      </c>
      <c r="L50" s="73" t="s">
        <v>166</v>
      </c>
      <c r="M50" s="74"/>
      <c r="N50" s="74"/>
      <c r="O50" s="74"/>
      <c r="P50" s="74"/>
      <c r="Q50" s="74"/>
      <c r="R50" s="74"/>
      <c r="S50" s="74"/>
      <c r="T50" s="74"/>
      <c r="U50" s="38"/>
      <c r="V50" s="38"/>
      <c r="W50" s="38"/>
      <c r="X50" s="38"/>
      <c r="Y50" s="38"/>
      <c r="Z50" s="38"/>
    </row>
    <row r="51" customFormat="false" ht="78" hidden="false" customHeight="true" outlineLevel="0" collapsed="false">
      <c r="A51" s="66" t="n">
        <v>38</v>
      </c>
      <c r="B51" s="67" t="s">
        <v>360</v>
      </c>
      <c r="C51" s="68" t="s">
        <v>378</v>
      </c>
      <c r="D51" s="69" t="s">
        <v>379</v>
      </c>
      <c r="E51" s="69" t="s">
        <v>380</v>
      </c>
      <c r="F51" s="69" t="s">
        <v>381</v>
      </c>
      <c r="G51" s="70" t="str">
        <f aca="false">IF($L51="Aprobado","x","")</f>
        <v>x</v>
      </c>
      <c r="H51" s="70" t="str">
        <f aca="false">IF($L51="Fallido","x","")</f>
        <v/>
      </c>
      <c r="I51" s="70" t="str">
        <f aca="false">IF($L51="No aplica","x","")</f>
        <v/>
      </c>
      <c r="J51" s="71" t="s">
        <v>382</v>
      </c>
      <c r="K51" s="72" t="s">
        <v>383</v>
      </c>
      <c r="L51" s="73" t="s">
        <v>166</v>
      </c>
      <c r="M51" s="74"/>
      <c r="N51" s="74"/>
      <c r="O51" s="74"/>
      <c r="P51" s="74"/>
      <c r="Q51" s="74"/>
      <c r="R51" s="74"/>
      <c r="S51" s="74"/>
      <c r="T51" s="74"/>
      <c r="U51" s="38"/>
      <c r="V51" s="38"/>
      <c r="W51" s="38"/>
      <c r="X51" s="38"/>
      <c r="Y51" s="38"/>
      <c r="Z51" s="38"/>
    </row>
    <row r="52" customFormat="false" ht="78" hidden="false" customHeight="true" outlineLevel="0" collapsed="false">
      <c r="A52" s="66" t="n">
        <v>39</v>
      </c>
      <c r="B52" s="67" t="s">
        <v>384</v>
      </c>
      <c r="C52" s="68" t="s">
        <v>385</v>
      </c>
      <c r="D52" s="69" t="s">
        <v>386</v>
      </c>
      <c r="E52" s="69" t="s">
        <v>387</v>
      </c>
      <c r="F52" s="69" t="s">
        <v>388</v>
      </c>
      <c r="G52" s="70" t="str">
        <f aca="false">IF($L52="Aprobado","x","")</f>
        <v>x</v>
      </c>
      <c r="H52" s="70" t="str">
        <f aca="false">IF($L52="Fallido","x","")</f>
        <v/>
      </c>
      <c r="I52" s="70" t="str">
        <f aca="false">IF($L52="No aplica","x","")</f>
        <v/>
      </c>
      <c r="J52" s="71" t="s">
        <v>389</v>
      </c>
      <c r="K52" s="72" t="s">
        <v>390</v>
      </c>
      <c r="L52" s="73" t="s">
        <v>166</v>
      </c>
      <c r="M52" s="74"/>
      <c r="N52" s="74"/>
      <c r="O52" s="74"/>
      <c r="P52" s="74"/>
      <c r="Q52" s="74"/>
      <c r="R52" s="74"/>
      <c r="S52" s="74"/>
      <c r="T52" s="74"/>
      <c r="U52" s="38"/>
      <c r="V52" s="38"/>
      <c r="W52" s="38"/>
      <c r="X52" s="38"/>
      <c r="Y52" s="38"/>
      <c r="Z52" s="38"/>
    </row>
    <row r="53" customFormat="false" ht="78" hidden="false" customHeight="true" outlineLevel="0" collapsed="false">
      <c r="A53" s="66" t="n">
        <v>40</v>
      </c>
      <c r="B53" s="67" t="s">
        <v>391</v>
      </c>
      <c r="C53" s="68" t="s">
        <v>392</v>
      </c>
      <c r="D53" s="69" t="s">
        <v>393</v>
      </c>
      <c r="E53" s="69" t="s">
        <v>394</v>
      </c>
      <c r="F53" s="69" t="s">
        <v>395</v>
      </c>
      <c r="G53" s="70" t="str">
        <f aca="false">IF($L53="Aprobado","x","")</f>
        <v/>
      </c>
      <c r="H53" s="70" t="str">
        <f aca="false">IF($L53="Fallido","x","")</f>
        <v/>
      </c>
      <c r="I53" s="70" t="str">
        <f aca="false">IF($L53="No aplica","x","")</f>
        <v/>
      </c>
      <c r="J53" s="71" t="s">
        <v>396</v>
      </c>
      <c r="K53" s="72" t="s">
        <v>397</v>
      </c>
      <c r="L53" s="73" t="s">
        <v>398</v>
      </c>
      <c r="M53" s="74"/>
      <c r="N53" s="74"/>
      <c r="O53" s="74"/>
      <c r="P53" s="74"/>
      <c r="Q53" s="74"/>
      <c r="R53" s="74"/>
      <c r="S53" s="74"/>
      <c r="T53" s="74"/>
      <c r="U53" s="38"/>
      <c r="V53" s="38"/>
      <c r="W53" s="38"/>
      <c r="X53" s="38"/>
      <c r="Y53" s="38"/>
      <c r="Z53" s="38"/>
    </row>
    <row r="54" customFormat="false" ht="78" hidden="false" customHeight="true" outlineLevel="0" collapsed="false">
      <c r="A54" s="66" t="n">
        <v>41</v>
      </c>
      <c r="B54" s="67" t="s">
        <v>399</v>
      </c>
      <c r="C54" s="68" t="s">
        <v>400</v>
      </c>
      <c r="D54" s="69" t="s">
        <v>401</v>
      </c>
      <c r="E54" s="69" t="s">
        <v>402</v>
      </c>
      <c r="F54" s="69" t="s">
        <v>403</v>
      </c>
      <c r="G54" s="70" t="str">
        <f aca="false">IF($L54="Aprobado","x","")</f>
        <v>x</v>
      </c>
      <c r="H54" s="70" t="str">
        <f aca="false">IF($L54="Fallido","x","")</f>
        <v/>
      </c>
      <c r="I54" s="70" t="str">
        <f aca="false">IF($L54="No aplica","x","")</f>
        <v/>
      </c>
      <c r="J54" s="71" t="s">
        <v>404</v>
      </c>
      <c r="K54" s="72" t="s">
        <v>165</v>
      </c>
      <c r="L54" s="73" t="s">
        <v>166</v>
      </c>
      <c r="M54" s="74"/>
      <c r="N54" s="74"/>
      <c r="O54" s="74"/>
      <c r="P54" s="74"/>
      <c r="Q54" s="74"/>
      <c r="R54" s="74"/>
      <c r="S54" s="74"/>
      <c r="T54" s="74"/>
      <c r="U54" s="38"/>
      <c r="V54" s="38"/>
      <c r="W54" s="38"/>
      <c r="X54" s="38"/>
      <c r="Y54" s="38"/>
      <c r="Z54" s="38"/>
    </row>
    <row r="55" customFormat="false" ht="78" hidden="false" customHeight="true" outlineLevel="0" collapsed="false">
      <c r="A55" s="66" t="n">
        <v>42</v>
      </c>
      <c r="B55" s="67" t="s">
        <v>405</v>
      </c>
      <c r="C55" s="68" t="s">
        <v>406</v>
      </c>
      <c r="D55" s="69" t="s">
        <v>407</v>
      </c>
      <c r="E55" s="69" t="s">
        <v>408</v>
      </c>
      <c r="F55" s="69" t="s">
        <v>409</v>
      </c>
      <c r="G55" s="70" t="str">
        <f aca="false">IF($L55="Aprobado","x","")</f>
        <v>x</v>
      </c>
      <c r="H55" s="70" t="str">
        <f aca="false">IF($L55="Fallido","x","")</f>
        <v/>
      </c>
      <c r="I55" s="70" t="str">
        <f aca="false">IF($L55="No aplica","x","")</f>
        <v/>
      </c>
      <c r="J55" s="71" t="s">
        <v>410</v>
      </c>
      <c r="K55" s="72" t="s">
        <v>165</v>
      </c>
      <c r="L55" s="73" t="s">
        <v>166</v>
      </c>
      <c r="M55" s="74"/>
      <c r="N55" s="74"/>
      <c r="O55" s="74"/>
      <c r="P55" s="74"/>
      <c r="Q55" s="74"/>
      <c r="R55" s="74"/>
      <c r="S55" s="74"/>
      <c r="T55" s="74"/>
      <c r="U55" s="38"/>
      <c r="V55" s="38"/>
      <c r="W55" s="38"/>
      <c r="X55" s="38"/>
      <c r="Y55" s="38"/>
      <c r="Z55" s="38"/>
    </row>
    <row r="56" customFormat="false" ht="78" hidden="false" customHeight="true" outlineLevel="0" collapsed="false">
      <c r="A56" s="66" t="n">
        <v>43</v>
      </c>
      <c r="B56" s="67" t="s">
        <v>411</v>
      </c>
      <c r="C56" s="68" t="s">
        <v>412</v>
      </c>
      <c r="D56" s="69" t="s">
        <v>413</v>
      </c>
      <c r="E56" s="69" t="s">
        <v>414</v>
      </c>
      <c r="F56" s="69" t="s">
        <v>415</v>
      </c>
      <c r="G56" s="70" t="str">
        <f aca="false">IF($L56="Aprobado","x","")</f>
        <v>x</v>
      </c>
      <c r="H56" s="70" t="str">
        <f aca="false">IF($L56="Fallido","x","")</f>
        <v/>
      </c>
      <c r="I56" s="70" t="str">
        <f aca="false">IF($L56="No aplica","x","")</f>
        <v/>
      </c>
      <c r="J56" s="71" t="s">
        <v>416</v>
      </c>
      <c r="K56" s="72" t="s">
        <v>346</v>
      </c>
      <c r="L56" s="73" t="s">
        <v>166</v>
      </c>
      <c r="M56" s="74"/>
      <c r="N56" s="74"/>
      <c r="O56" s="74"/>
      <c r="P56" s="74"/>
      <c r="Q56" s="74"/>
      <c r="R56" s="74"/>
      <c r="S56" s="74"/>
      <c r="T56" s="74"/>
      <c r="U56" s="38"/>
      <c r="V56" s="38"/>
      <c r="W56" s="38"/>
      <c r="X56" s="38"/>
      <c r="Y56" s="38"/>
      <c r="Z56" s="38"/>
    </row>
    <row r="57" customFormat="false" ht="78" hidden="false" customHeight="true" outlineLevel="0" collapsed="false">
      <c r="A57" s="66" t="n">
        <v>44</v>
      </c>
      <c r="B57" s="67" t="s">
        <v>411</v>
      </c>
      <c r="C57" s="68" t="s">
        <v>417</v>
      </c>
      <c r="D57" s="69" t="s">
        <v>418</v>
      </c>
      <c r="E57" s="69" t="s">
        <v>419</v>
      </c>
      <c r="F57" s="69" t="s">
        <v>420</v>
      </c>
      <c r="G57" s="70" t="str">
        <f aca="false">IF($L57="Aprobado","x","")</f>
        <v>x</v>
      </c>
      <c r="H57" s="70" t="str">
        <f aca="false">IF($L57="Fallido","x","")</f>
        <v/>
      </c>
      <c r="I57" s="70" t="str">
        <f aca="false">IF($L57="No aplica","x","")</f>
        <v/>
      </c>
      <c r="J57" s="71" t="s">
        <v>421</v>
      </c>
      <c r="K57" s="72" t="s">
        <v>422</v>
      </c>
      <c r="L57" s="73" t="s">
        <v>166</v>
      </c>
      <c r="M57" s="74"/>
      <c r="N57" s="74"/>
      <c r="O57" s="74"/>
      <c r="P57" s="74"/>
      <c r="Q57" s="74"/>
      <c r="R57" s="74"/>
      <c r="S57" s="74"/>
      <c r="T57" s="74"/>
      <c r="U57" s="38"/>
      <c r="V57" s="38"/>
      <c r="W57" s="38"/>
      <c r="X57" s="38"/>
      <c r="Y57" s="38"/>
      <c r="Z57" s="38"/>
    </row>
    <row r="58" customFormat="false" ht="78" hidden="false" customHeight="true" outlineLevel="0" collapsed="false">
      <c r="A58" s="66" t="n">
        <v>45</v>
      </c>
      <c r="B58" s="67" t="s">
        <v>411</v>
      </c>
      <c r="C58" s="68" t="s">
        <v>423</v>
      </c>
      <c r="D58" s="69" t="s">
        <v>424</v>
      </c>
      <c r="E58" s="69" t="s">
        <v>425</v>
      </c>
      <c r="F58" s="69" t="s">
        <v>426</v>
      </c>
      <c r="G58" s="70" t="str">
        <f aca="false">IF($L58="Aprobado","x","")</f>
        <v>x</v>
      </c>
      <c r="H58" s="70" t="str">
        <f aca="false">IF($L58="Fallido","x","")</f>
        <v/>
      </c>
      <c r="I58" s="70" t="str">
        <f aca="false">IF($L58="No aplica","x","")</f>
        <v/>
      </c>
      <c r="J58" s="71" t="s">
        <v>427</v>
      </c>
      <c r="K58" s="72" t="s">
        <v>346</v>
      </c>
      <c r="L58" s="73" t="s">
        <v>166</v>
      </c>
      <c r="M58" s="74"/>
      <c r="N58" s="74"/>
      <c r="O58" s="74"/>
      <c r="P58" s="74"/>
      <c r="Q58" s="74"/>
      <c r="R58" s="74"/>
      <c r="S58" s="74"/>
      <c r="T58" s="74"/>
      <c r="U58" s="38"/>
      <c r="V58" s="38"/>
      <c r="W58" s="38"/>
      <c r="X58" s="38"/>
      <c r="Y58" s="38"/>
      <c r="Z58" s="38"/>
    </row>
    <row r="59" customFormat="false" ht="78" hidden="false" customHeight="true" outlineLevel="0" collapsed="false">
      <c r="A59" s="66" t="n">
        <v>46</v>
      </c>
      <c r="B59" s="67" t="s">
        <v>428</v>
      </c>
      <c r="C59" s="68" t="s">
        <v>429</v>
      </c>
      <c r="D59" s="69" t="s">
        <v>430</v>
      </c>
      <c r="E59" s="69" t="s">
        <v>431</v>
      </c>
      <c r="F59" s="69" t="s">
        <v>432</v>
      </c>
      <c r="G59" s="70" t="str">
        <f aca="false">IF($L59="Aprobado","x","")</f>
        <v>x</v>
      </c>
      <c r="H59" s="70" t="str">
        <f aca="false">IF($L59="Fallido","x","")</f>
        <v/>
      </c>
      <c r="I59" s="70" t="str">
        <f aca="false">IF($L59="No aplica","x","")</f>
        <v/>
      </c>
      <c r="J59" s="71" t="s">
        <v>433</v>
      </c>
      <c r="K59" s="72" t="s">
        <v>346</v>
      </c>
      <c r="L59" s="73" t="s">
        <v>166</v>
      </c>
      <c r="M59" s="74"/>
      <c r="N59" s="74"/>
      <c r="O59" s="74"/>
      <c r="P59" s="74"/>
      <c r="Q59" s="74"/>
      <c r="R59" s="74"/>
      <c r="S59" s="74"/>
      <c r="T59" s="74"/>
      <c r="U59" s="38"/>
      <c r="V59" s="38"/>
      <c r="W59" s="38"/>
      <c r="X59" s="38"/>
      <c r="Y59" s="38"/>
      <c r="Z59" s="38"/>
    </row>
    <row r="60" customFormat="false" ht="78" hidden="false" customHeight="true" outlineLevel="0" collapsed="false">
      <c r="A60" s="66" t="n">
        <v>47</v>
      </c>
      <c r="B60" s="67" t="s">
        <v>434</v>
      </c>
      <c r="C60" s="68" t="s">
        <v>435</v>
      </c>
      <c r="D60" s="69" t="s">
        <v>436</v>
      </c>
      <c r="E60" s="69" t="s">
        <v>437</v>
      </c>
      <c r="F60" s="69" t="s">
        <v>438</v>
      </c>
      <c r="G60" s="70" t="str">
        <f aca="false">IF($L60="Aprobado","x","")</f>
        <v/>
      </c>
      <c r="H60" s="70" t="str">
        <f aca="false">IF($L60="Fallido","x","")</f>
        <v/>
      </c>
      <c r="I60" s="70" t="str">
        <f aca="false">IF($L60="No aplica","x","")</f>
        <v/>
      </c>
      <c r="J60" s="71" t="s">
        <v>396</v>
      </c>
      <c r="K60" s="72" t="s">
        <v>165</v>
      </c>
      <c r="L60" s="73" t="s">
        <v>398</v>
      </c>
      <c r="M60" s="74"/>
      <c r="N60" s="74"/>
      <c r="O60" s="74"/>
      <c r="P60" s="74"/>
      <c r="Q60" s="74"/>
      <c r="R60" s="74"/>
      <c r="S60" s="74"/>
      <c r="T60" s="74"/>
      <c r="U60" s="38"/>
      <c r="V60" s="38"/>
      <c r="W60" s="38"/>
      <c r="X60" s="38"/>
      <c r="Y60" s="38"/>
      <c r="Z60" s="38"/>
    </row>
    <row r="61" customFormat="false" ht="78" hidden="false" customHeight="true" outlineLevel="0" collapsed="false">
      <c r="A61" s="66" t="n">
        <v>48</v>
      </c>
      <c r="B61" s="67" t="s">
        <v>439</v>
      </c>
      <c r="C61" s="68" t="s">
        <v>440</v>
      </c>
      <c r="D61" s="69" t="s">
        <v>441</v>
      </c>
      <c r="E61" s="69" t="s">
        <v>442</v>
      </c>
      <c r="F61" s="69" t="s">
        <v>443</v>
      </c>
      <c r="G61" s="70" t="str">
        <f aca="false">IF($L61="Aprobado","x","")</f>
        <v/>
      </c>
      <c r="H61" s="70" t="str">
        <f aca="false">IF($L61="Fallido","x","")</f>
        <v/>
      </c>
      <c r="I61" s="70" t="str">
        <f aca="false">IF($L61="No aplica","x","")</f>
        <v/>
      </c>
      <c r="J61" s="71" t="s">
        <v>396</v>
      </c>
      <c r="K61" s="72" t="s">
        <v>444</v>
      </c>
      <c r="L61" s="73" t="s">
        <v>398</v>
      </c>
      <c r="M61" s="74"/>
      <c r="N61" s="74"/>
      <c r="O61" s="74"/>
      <c r="P61" s="74"/>
      <c r="Q61" s="74"/>
      <c r="R61" s="74"/>
      <c r="S61" s="74"/>
      <c r="T61" s="74"/>
      <c r="U61" s="38"/>
      <c r="V61" s="38"/>
      <c r="W61" s="38"/>
      <c r="X61" s="38"/>
      <c r="Y61" s="38"/>
      <c r="Z61" s="38"/>
    </row>
    <row r="62" customFormat="false" ht="12.75" hidden="false" customHeight="true" outlineLevel="0" collapsed="false">
      <c r="A62" s="43"/>
      <c r="B62" s="75"/>
      <c r="C62" s="76"/>
      <c r="D62" s="77"/>
      <c r="E62" s="78"/>
      <c r="F62" s="78"/>
      <c r="G62" s="79"/>
      <c r="H62" s="79"/>
      <c r="I62" s="79"/>
      <c r="J62" s="78"/>
      <c r="K62" s="77"/>
      <c r="L62" s="74"/>
      <c r="M62" s="74"/>
      <c r="N62" s="74"/>
      <c r="O62" s="74"/>
      <c r="P62" s="74"/>
      <c r="Q62" s="74"/>
      <c r="R62" s="74"/>
      <c r="S62" s="74"/>
      <c r="T62" s="74"/>
      <c r="U62" s="38"/>
      <c r="V62" s="38"/>
      <c r="W62" s="38"/>
      <c r="X62" s="38"/>
      <c r="Y62" s="38"/>
      <c r="Z62" s="38"/>
    </row>
    <row r="63" customFormat="false" ht="12.75" hidden="false" customHeight="true" outlineLevel="0" collapsed="false">
      <c r="A63" s="43"/>
      <c r="B63" s="75"/>
      <c r="C63" s="76"/>
      <c r="D63" s="77"/>
      <c r="E63" s="78"/>
      <c r="F63" s="78"/>
      <c r="G63" s="79"/>
      <c r="H63" s="79"/>
      <c r="I63" s="79"/>
      <c r="J63" s="78"/>
      <c r="K63" s="77"/>
      <c r="L63" s="74"/>
      <c r="M63" s="74"/>
      <c r="N63" s="74"/>
      <c r="O63" s="74"/>
      <c r="P63" s="74"/>
      <c r="Q63" s="74"/>
      <c r="R63" s="74"/>
      <c r="S63" s="74"/>
      <c r="T63" s="74"/>
      <c r="U63" s="38"/>
      <c r="V63" s="38"/>
      <c r="W63" s="38"/>
      <c r="X63" s="38"/>
      <c r="Y63" s="38"/>
      <c r="Z63" s="38"/>
    </row>
    <row r="64" customFormat="false" ht="12.75" hidden="false" customHeight="true" outlineLevel="0" collapsed="false">
      <c r="A64" s="43"/>
      <c r="B64" s="75"/>
      <c r="C64" s="76"/>
      <c r="D64" s="77"/>
      <c r="E64" s="78"/>
      <c r="F64" s="78"/>
      <c r="G64" s="79"/>
      <c r="H64" s="79"/>
      <c r="I64" s="79"/>
      <c r="J64" s="78"/>
      <c r="K64" s="77"/>
      <c r="L64" s="74"/>
      <c r="M64" s="74"/>
      <c r="N64" s="74"/>
      <c r="O64" s="74"/>
      <c r="P64" s="74"/>
      <c r="Q64" s="74"/>
      <c r="R64" s="74"/>
      <c r="S64" s="74"/>
      <c r="T64" s="74"/>
      <c r="U64" s="38"/>
      <c r="V64" s="38"/>
      <c r="W64" s="38"/>
      <c r="X64" s="38"/>
      <c r="Y64" s="38"/>
      <c r="Z64" s="38"/>
    </row>
    <row r="65" customFormat="false" ht="12.75" hidden="false" customHeight="true" outlineLevel="0" collapsed="false">
      <c r="A65" s="43"/>
      <c r="B65" s="75"/>
      <c r="C65" s="76"/>
      <c r="D65" s="77"/>
      <c r="E65" s="78"/>
      <c r="F65" s="78"/>
      <c r="G65" s="79"/>
      <c r="H65" s="79"/>
      <c r="I65" s="79"/>
      <c r="J65" s="78"/>
      <c r="K65" s="77"/>
      <c r="L65" s="74"/>
      <c r="M65" s="74"/>
      <c r="N65" s="74"/>
      <c r="O65" s="74"/>
      <c r="P65" s="74"/>
      <c r="Q65" s="74"/>
      <c r="R65" s="74"/>
      <c r="S65" s="74"/>
      <c r="T65" s="74"/>
      <c r="U65" s="38"/>
      <c r="V65" s="38"/>
      <c r="W65" s="38"/>
      <c r="X65" s="38"/>
      <c r="Y65" s="38"/>
      <c r="Z65" s="38"/>
    </row>
    <row r="66" customFormat="false" ht="12.75" hidden="false" customHeight="true" outlineLevel="0" collapsed="false">
      <c r="A66" s="43"/>
      <c r="B66" s="75"/>
      <c r="C66" s="76"/>
      <c r="D66" s="77"/>
      <c r="E66" s="78"/>
      <c r="F66" s="78"/>
      <c r="G66" s="79"/>
      <c r="H66" s="79"/>
      <c r="I66" s="79"/>
      <c r="J66" s="78"/>
      <c r="K66" s="77"/>
      <c r="L66" s="74"/>
      <c r="M66" s="74"/>
      <c r="N66" s="74"/>
      <c r="O66" s="74"/>
      <c r="P66" s="74"/>
      <c r="Q66" s="74"/>
      <c r="R66" s="74"/>
      <c r="S66" s="74"/>
      <c r="T66" s="74"/>
      <c r="U66" s="38"/>
      <c r="V66" s="38"/>
      <c r="W66" s="38"/>
      <c r="X66" s="38"/>
      <c r="Y66" s="38"/>
      <c r="Z66" s="38"/>
    </row>
    <row r="67" customFormat="false" ht="12.75" hidden="false" customHeight="true" outlineLevel="0" collapsed="false">
      <c r="A67" s="43"/>
      <c r="B67" s="75"/>
      <c r="C67" s="76"/>
      <c r="D67" s="77"/>
      <c r="E67" s="78"/>
      <c r="F67" s="78"/>
      <c r="G67" s="79"/>
      <c r="H67" s="79"/>
      <c r="I67" s="79"/>
      <c r="J67" s="78"/>
      <c r="K67" s="77"/>
      <c r="L67" s="74"/>
      <c r="M67" s="74"/>
      <c r="N67" s="74"/>
      <c r="O67" s="74"/>
      <c r="P67" s="74"/>
      <c r="Q67" s="74"/>
      <c r="R67" s="74"/>
      <c r="S67" s="74"/>
      <c r="T67" s="74"/>
      <c r="U67" s="38"/>
      <c r="V67" s="38"/>
      <c r="W67" s="38"/>
      <c r="X67" s="38"/>
      <c r="Y67" s="38"/>
      <c r="Z67" s="38"/>
    </row>
    <row r="68" customFormat="false" ht="12.75" hidden="false" customHeight="true" outlineLevel="0" collapsed="false">
      <c r="A68" s="43"/>
      <c r="B68" s="75"/>
      <c r="C68" s="76"/>
      <c r="D68" s="77"/>
      <c r="E68" s="78"/>
      <c r="F68" s="78"/>
      <c r="G68" s="79"/>
      <c r="H68" s="79"/>
      <c r="I68" s="79"/>
      <c r="J68" s="78"/>
      <c r="K68" s="77"/>
      <c r="L68" s="74"/>
      <c r="M68" s="74"/>
      <c r="N68" s="74"/>
      <c r="O68" s="74"/>
      <c r="P68" s="74"/>
      <c r="Q68" s="74"/>
      <c r="R68" s="74"/>
      <c r="S68" s="74"/>
      <c r="T68" s="74"/>
      <c r="U68" s="38"/>
      <c r="V68" s="38"/>
      <c r="W68" s="38"/>
      <c r="X68" s="38"/>
      <c r="Y68" s="38"/>
      <c r="Z68" s="38"/>
    </row>
    <row r="69" customFormat="false" ht="12.75" hidden="false" customHeight="true" outlineLevel="0" collapsed="false">
      <c r="A69" s="43"/>
      <c r="B69" s="75"/>
      <c r="C69" s="76"/>
      <c r="D69" s="77"/>
      <c r="E69" s="78"/>
      <c r="F69" s="78"/>
      <c r="G69" s="79"/>
      <c r="H69" s="79"/>
      <c r="I69" s="79"/>
      <c r="J69" s="78"/>
      <c r="K69" s="77"/>
      <c r="L69" s="74"/>
      <c r="M69" s="74"/>
      <c r="N69" s="74"/>
      <c r="O69" s="74"/>
      <c r="P69" s="74"/>
      <c r="Q69" s="74"/>
      <c r="R69" s="74"/>
      <c r="S69" s="74"/>
      <c r="T69" s="74"/>
      <c r="U69" s="38"/>
      <c r="V69" s="38"/>
      <c r="W69" s="38"/>
      <c r="X69" s="38"/>
      <c r="Y69" s="38"/>
      <c r="Z69" s="38"/>
    </row>
    <row r="70" customFormat="false" ht="12.75" hidden="false" customHeight="true" outlineLevel="0" collapsed="false">
      <c r="A70" s="43"/>
      <c r="B70" s="75"/>
      <c r="C70" s="76"/>
      <c r="D70" s="77"/>
      <c r="E70" s="78"/>
      <c r="F70" s="78"/>
      <c r="G70" s="79"/>
      <c r="H70" s="79"/>
      <c r="I70" s="79"/>
      <c r="J70" s="78"/>
      <c r="K70" s="77"/>
      <c r="L70" s="74"/>
      <c r="M70" s="74"/>
      <c r="N70" s="74"/>
      <c r="O70" s="74"/>
      <c r="P70" s="74"/>
      <c r="Q70" s="74"/>
      <c r="R70" s="74"/>
      <c r="S70" s="74"/>
      <c r="T70" s="74"/>
      <c r="U70" s="38"/>
      <c r="V70" s="38"/>
      <c r="W70" s="38"/>
      <c r="X70" s="38"/>
      <c r="Y70" s="38"/>
      <c r="Z70" s="38"/>
    </row>
    <row r="71" customFormat="false" ht="12.75" hidden="false" customHeight="true" outlineLevel="0" collapsed="false">
      <c r="A71" s="43"/>
      <c r="B71" s="75"/>
      <c r="C71" s="76"/>
      <c r="D71" s="77"/>
      <c r="E71" s="78"/>
      <c r="F71" s="78"/>
      <c r="G71" s="79"/>
      <c r="H71" s="79"/>
      <c r="I71" s="79"/>
      <c r="J71" s="78"/>
      <c r="K71" s="77"/>
      <c r="L71" s="74"/>
      <c r="M71" s="74"/>
      <c r="N71" s="74"/>
      <c r="O71" s="74"/>
      <c r="P71" s="74"/>
      <c r="Q71" s="74"/>
      <c r="R71" s="74"/>
      <c r="S71" s="74"/>
      <c r="T71" s="74"/>
      <c r="U71" s="38"/>
      <c r="V71" s="38"/>
      <c r="W71" s="38"/>
      <c r="X71" s="38"/>
      <c r="Y71" s="38"/>
      <c r="Z71" s="38"/>
    </row>
    <row r="72" customFormat="false" ht="12.75" hidden="false" customHeight="true" outlineLevel="0" collapsed="false">
      <c r="A72" s="43"/>
      <c r="B72" s="75"/>
      <c r="C72" s="76"/>
      <c r="D72" s="77"/>
      <c r="E72" s="78"/>
      <c r="F72" s="78"/>
      <c r="G72" s="79"/>
      <c r="H72" s="79"/>
      <c r="I72" s="79"/>
      <c r="J72" s="78"/>
      <c r="K72" s="77"/>
      <c r="L72" s="74"/>
      <c r="M72" s="74"/>
      <c r="N72" s="74"/>
      <c r="O72" s="74"/>
      <c r="P72" s="74"/>
      <c r="Q72" s="74"/>
      <c r="R72" s="74"/>
      <c r="S72" s="74"/>
      <c r="T72" s="74"/>
      <c r="U72" s="38"/>
      <c r="V72" s="38"/>
      <c r="W72" s="38"/>
      <c r="X72" s="38"/>
      <c r="Y72" s="38"/>
      <c r="Z72" s="38"/>
    </row>
    <row r="73" customFormat="false" ht="12.75" hidden="false" customHeight="true" outlineLevel="0" collapsed="false">
      <c r="A73" s="43"/>
      <c r="B73" s="75"/>
      <c r="C73" s="76"/>
      <c r="D73" s="77"/>
      <c r="E73" s="78"/>
      <c r="F73" s="78"/>
      <c r="G73" s="79"/>
      <c r="H73" s="79"/>
      <c r="I73" s="79"/>
      <c r="J73" s="78"/>
      <c r="K73" s="77"/>
      <c r="L73" s="74"/>
      <c r="M73" s="74"/>
      <c r="N73" s="74"/>
      <c r="O73" s="74"/>
      <c r="P73" s="74"/>
      <c r="Q73" s="74"/>
      <c r="R73" s="74"/>
      <c r="S73" s="74"/>
      <c r="T73" s="74"/>
      <c r="U73" s="38"/>
      <c r="V73" s="38"/>
      <c r="W73" s="38"/>
      <c r="X73" s="38"/>
      <c r="Y73" s="38"/>
      <c r="Z73" s="38"/>
    </row>
    <row r="74" customFormat="false" ht="12.75" hidden="false" customHeight="true" outlineLevel="0" collapsed="false">
      <c r="A74" s="43"/>
      <c r="B74" s="75"/>
      <c r="C74" s="76"/>
      <c r="D74" s="77"/>
      <c r="E74" s="78"/>
      <c r="F74" s="78"/>
      <c r="G74" s="79"/>
      <c r="H74" s="79"/>
      <c r="I74" s="79"/>
      <c r="J74" s="78"/>
      <c r="K74" s="77"/>
      <c r="L74" s="74"/>
      <c r="M74" s="74"/>
      <c r="N74" s="74"/>
      <c r="O74" s="74"/>
      <c r="P74" s="74"/>
      <c r="Q74" s="74"/>
      <c r="R74" s="74"/>
      <c r="S74" s="74"/>
      <c r="T74" s="74"/>
      <c r="U74" s="38"/>
      <c r="V74" s="38"/>
      <c r="W74" s="38"/>
      <c r="X74" s="38"/>
      <c r="Y74" s="38"/>
      <c r="Z74" s="38"/>
    </row>
    <row r="75" customFormat="false" ht="12.75" hidden="false" customHeight="true" outlineLevel="0" collapsed="false">
      <c r="A75" s="43"/>
      <c r="B75" s="75"/>
      <c r="C75" s="76"/>
      <c r="D75" s="77"/>
      <c r="E75" s="78"/>
      <c r="F75" s="78"/>
      <c r="G75" s="79"/>
      <c r="H75" s="79"/>
      <c r="I75" s="79"/>
      <c r="J75" s="78"/>
      <c r="K75" s="77"/>
      <c r="L75" s="74"/>
      <c r="M75" s="74"/>
      <c r="N75" s="74"/>
      <c r="O75" s="74"/>
      <c r="P75" s="74"/>
      <c r="Q75" s="74"/>
      <c r="R75" s="74"/>
      <c r="S75" s="74"/>
      <c r="T75" s="74"/>
      <c r="U75" s="38"/>
      <c r="V75" s="38"/>
      <c r="W75" s="38"/>
      <c r="X75" s="38"/>
      <c r="Y75" s="38"/>
      <c r="Z75" s="38"/>
    </row>
    <row r="76" customFormat="false" ht="12.75" hidden="false" customHeight="true" outlineLevel="0" collapsed="false">
      <c r="A76" s="43"/>
      <c r="B76" s="75"/>
      <c r="C76" s="76"/>
      <c r="D76" s="77"/>
      <c r="E76" s="78"/>
      <c r="F76" s="78"/>
      <c r="G76" s="79"/>
      <c r="H76" s="79"/>
      <c r="I76" s="79"/>
      <c r="J76" s="78"/>
      <c r="K76" s="77"/>
      <c r="L76" s="74"/>
      <c r="M76" s="74"/>
      <c r="N76" s="74"/>
      <c r="O76" s="74"/>
      <c r="P76" s="74"/>
      <c r="Q76" s="74"/>
      <c r="R76" s="74"/>
      <c r="S76" s="74"/>
      <c r="T76" s="74"/>
      <c r="U76" s="38"/>
      <c r="V76" s="38"/>
      <c r="W76" s="38"/>
      <c r="X76" s="38"/>
      <c r="Y76" s="38"/>
      <c r="Z76" s="38"/>
    </row>
    <row r="77" customFormat="false" ht="12.75" hidden="false" customHeight="true" outlineLevel="0" collapsed="false">
      <c r="A77" s="43"/>
      <c r="B77" s="75"/>
      <c r="C77" s="76"/>
      <c r="D77" s="77"/>
      <c r="E77" s="78"/>
      <c r="F77" s="78"/>
      <c r="G77" s="79"/>
      <c r="H77" s="79"/>
      <c r="I77" s="79"/>
      <c r="J77" s="78"/>
      <c r="K77" s="77"/>
      <c r="L77" s="74"/>
      <c r="M77" s="74"/>
      <c r="N77" s="74"/>
      <c r="O77" s="74"/>
      <c r="P77" s="74"/>
      <c r="Q77" s="74"/>
      <c r="R77" s="74"/>
      <c r="S77" s="74"/>
      <c r="T77" s="74"/>
      <c r="U77" s="38"/>
      <c r="V77" s="38"/>
      <c r="W77" s="38"/>
      <c r="X77" s="38"/>
      <c r="Y77" s="38"/>
      <c r="Z77" s="38"/>
    </row>
    <row r="78" customFormat="false" ht="12.75" hidden="false" customHeight="true" outlineLevel="0" collapsed="false">
      <c r="A78" s="43"/>
      <c r="B78" s="75"/>
      <c r="C78" s="76"/>
      <c r="D78" s="77"/>
      <c r="E78" s="78"/>
      <c r="F78" s="78"/>
      <c r="G78" s="79"/>
      <c r="H78" s="79"/>
      <c r="I78" s="79"/>
      <c r="J78" s="78"/>
      <c r="K78" s="77"/>
      <c r="L78" s="74"/>
      <c r="M78" s="74"/>
      <c r="N78" s="74"/>
      <c r="O78" s="74"/>
      <c r="P78" s="74"/>
      <c r="Q78" s="74"/>
      <c r="R78" s="74"/>
      <c r="S78" s="74"/>
      <c r="T78" s="74"/>
      <c r="U78" s="38"/>
      <c r="V78" s="38"/>
      <c r="W78" s="38"/>
      <c r="X78" s="38"/>
      <c r="Y78" s="38"/>
      <c r="Z78" s="38"/>
    </row>
    <row r="79" customFormat="false" ht="12.75" hidden="false" customHeight="true" outlineLevel="0" collapsed="false">
      <c r="A79" s="43"/>
      <c r="B79" s="75"/>
      <c r="C79" s="76"/>
      <c r="D79" s="77"/>
      <c r="E79" s="78"/>
      <c r="F79" s="78"/>
      <c r="G79" s="79"/>
      <c r="H79" s="79"/>
      <c r="I79" s="79"/>
      <c r="J79" s="78"/>
      <c r="K79" s="77"/>
      <c r="L79" s="74"/>
      <c r="M79" s="74"/>
      <c r="N79" s="74"/>
      <c r="O79" s="74"/>
      <c r="P79" s="74"/>
      <c r="Q79" s="74"/>
      <c r="R79" s="74"/>
      <c r="S79" s="74"/>
      <c r="T79" s="74"/>
      <c r="U79" s="38"/>
      <c r="V79" s="38"/>
      <c r="W79" s="38"/>
      <c r="X79" s="38"/>
      <c r="Y79" s="38"/>
      <c r="Z79" s="38"/>
    </row>
    <row r="80" customFormat="false" ht="12.75" hidden="false" customHeight="true" outlineLevel="0" collapsed="false">
      <c r="A80" s="43"/>
      <c r="B80" s="75"/>
      <c r="C80" s="76"/>
      <c r="D80" s="77"/>
      <c r="E80" s="78"/>
      <c r="F80" s="78"/>
      <c r="G80" s="79"/>
      <c r="H80" s="79"/>
      <c r="I80" s="79"/>
      <c r="J80" s="78"/>
      <c r="K80" s="77"/>
      <c r="L80" s="74"/>
      <c r="M80" s="74"/>
      <c r="N80" s="74"/>
      <c r="O80" s="74"/>
      <c r="P80" s="74"/>
      <c r="Q80" s="74"/>
      <c r="R80" s="74"/>
      <c r="S80" s="74"/>
      <c r="T80" s="74"/>
      <c r="U80" s="38"/>
      <c r="V80" s="38"/>
      <c r="W80" s="38"/>
      <c r="X80" s="38"/>
      <c r="Y80" s="38"/>
      <c r="Z80" s="38"/>
    </row>
    <row r="81" customFormat="false" ht="12.75" hidden="false" customHeight="true" outlineLevel="0" collapsed="false">
      <c r="A81" s="43"/>
      <c r="B81" s="75"/>
      <c r="C81" s="76"/>
      <c r="D81" s="77"/>
      <c r="E81" s="78"/>
      <c r="F81" s="78"/>
      <c r="G81" s="79"/>
      <c r="H81" s="79"/>
      <c r="I81" s="79"/>
      <c r="J81" s="78"/>
      <c r="K81" s="77"/>
      <c r="L81" s="74"/>
      <c r="M81" s="74"/>
      <c r="N81" s="74"/>
      <c r="O81" s="74"/>
      <c r="P81" s="74"/>
      <c r="Q81" s="74"/>
      <c r="R81" s="74"/>
      <c r="S81" s="74"/>
      <c r="T81" s="74"/>
      <c r="U81" s="38"/>
      <c r="V81" s="38"/>
      <c r="W81" s="38"/>
      <c r="X81" s="38"/>
      <c r="Y81" s="38"/>
      <c r="Z81" s="38"/>
    </row>
    <row r="82" customFormat="false" ht="12.75" hidden="false" customHeight="true" outlineLevel="0" collapsed="false">
      <c r="A82" s="43"/>
      <c r="B82" s="75"/>
      <c r="C82" s="76"/>
      <c r="D82" s="77"/>
      <c r="E82" s="78"/>
      <c r="F82" s="78"/>
      <c r="G82" s="79"/>
      <c r="H82" s="79"/>
      <c r="I82" s="79"/>
      <c r="J82" s="78"/>
      <c r="K82" s="77"/>
      <c r="L82" s="74"/>
      <c r="M82" s="74"/>
      <c r="N82" s="74"/>
      <c r="O82" s="74"/>
      <c r="P82" s="74"/>
      <c r="Q82" s="74"/>
      <c r="R82" s="74"/>
      <c r="S82" s="74"/>
      <c r="T82" s="74"/>
      <c r="U82" s="38"/>
      <c r="V82" s="38"/>
      <c r="W82" s="38"/>
      <c r="X82" s="38"/>
      <c r="Y82" s="38"/>
      <c r="Z82" s="38"/>
    </row>
    <row r="83" customFormat="false" ht="12.75" hidden="false" customHeight="true" outlineLevel="0" collapsed="false">
      <c r="A83" s="43"/>
      <c r="B83" s="75"/>
      <c r="C83" s="76"/>
      <c r="D83" s="77"/>
      <c r="E83" s="78"/>
      <c r="F83" s="78"/>
      <c r="G83" s="79"/>
      <c r="H83" s="79"/>
      <c r="I83" s="79"/>
      <c r="J83" s="78"/>
      <c r="K83" s="77"/>
      <c r="L83" s="74"/>
      <c r="M83" s="74"/>
      <c r="N83" s="74"/>
      <c r="O83" s="74"/>
      <c r="P83" s="74"/>
      <c r="Q83" s="74"/>
      <c r="R83" s="74"/>
      <c r="S83" s="74"/>
      <c r="T83" s="74"/>
      <c r="U83" s="38"/>
      <c r="V83" s="38"/>
      <c r="W83" s="38"/>
      <c r="X83" s="38"/>
      <c r="Y83" s="38"/>
      <c r="Z83" s="38"/>
    </row>
    <row r="84" customFormat="false" ht="12.75" hidden="false" customHeight="true" outlineLevel="0" collapsed="false">
      <c r="A84" s="43"/>
      <c r="B84" s="75"/>
      <c r="C84" s="76"/>
      <c r="D84" s="77"/>
      <c r="E84" s="78"/>
      <c r="F84" s="78"/>
      <c r="G84" s="79"/>
      <c r="H84" s="79"/>
      <c r="I84" s="79"/>
      <c r="J84" s="78"/>
      <c r="K84" s="77"/>
      <c r="L84" s="74"/>
      <c r="M84" s="74"/>
      <c r="N84" s="74"/>
      <c r="O84" s="74"/>
      <c r="P84" s="74"/>
      <c r="Q84" s="74"/>
      <c r="R84" s="74"/>
      <c r="S84" s="74"/>
      <c r="T84" s="74"/>
      <c r="U84" s="38"/>
      <c r="V84" s="38"/>
      <c r="W84" s="38"/>
      <c r="X84" s="38"/>
      <c r="Y84" s="38"/>
      <c r="Z84" s="38"/>
    </row>
    <row r="85" customFormat="false" ht="12.75" hidden="false" customHeight="true" outlineLevel="0" collapsed="false">
      <c r="A85" s="43"/>
      <c r="B85" s="75"/>
      <c r="C85" s="76"/>
      <c r="D85" s="77"/>
      <c r="E85" s="78"/>
      <c r="F85" s="78"/>
      <c r="G85" s="79"/>
      <c r="H85" s="79"/>
      <c r="I85" s="79"/>
      <c r="J85" s="78"/>
      <c r="K85" s="77"/>
      <c r="L85" s="74"/>
      <c r="M85" s="74"/>
      <c r="N85" s="74"/>
      <c r="O85" s="74"/>
      <c r="P85" s="74"/>
      <c r="Q85" s="74"/>
      <c r="R85" s="74"/>
      <c r="S85" s="74"/>
      <c r="T85" s="74"/>
      <c r="U85" s="38"/>
      <c r="V85" s="38"/>
      <c r="W85" s="38"/>
      <c r="X85" s="38"/>
      <c r="Y85" s="38"/>
      <c r="Z85" s="38"/>
    </row>
    <row r="86" customFormat="false" ht="12.75" hidden="false" customHeight="true" outlineLevel="0" collapsed="false">
      <c r="A86" s="43"/>
      <c r="B86" s="75"/>
      <c r="C86" s="76"/>
      <c r="D86" s="77"/>
      <c r="E86" s="78"/>
      <c r="F86" s="78"/>
      <c r="G86" s="79"/>
      <c r="H86" s="79"/>
      <c r="I86" s="79"/>
      <c r="J86" s="78"/>
      <c r="K86" s="77"/>
      <c r="L86" s="74"/>
      <c r="M86" s="74"/>
      <c r="N86" s="74"/>
      <c r="O86" s="74"/>
      <c r="P86" s="74"/>
      <c r="Q86" s="74"/>
      <c r="R86" s="74"/>
      <c r="S86" s="74"/>
      <c r="T86" s="74"/>
      <c r="U86" s="38"/>
      <c r="V86" s="38"/>
      <c r="W86" s="38"/>
      <c r="X86" s="38"/>
      <c r="Y86" s="38"/>
      <c r="Z86" s="38"/>
    </row>
    <row r="87" customFormat="false" ht="12.75" hidden="false" customHeight="true" outlineLevel="0" collapsed="false">
      <c r="A87" s="43"/>
      <c r="B87" s="75"/>
      <c r="C87" s="76"/>
      <c r="D87" s="77"/>
      <c r="E87" s="78"/>
      <c r="F87" s="78"/>
      <c r="G87" s="79"/>
      <c r="H87" s="79"/>
      <c r="I87" s="79"/>
      <c r="J87" s="78"/>
      <c r="K87" s="77"/>
      <c r="L87" s="74"/>
      <c r="M87" s="74"/>
      <c r="N87" s="74"/>
      <c r="O87" s="74"/>
      <c r="P87" s="74"/>
      <c r="Q87" s="74"/>
      <c r="R87" s="74"/>
      <c r="S87" s="74"/>
      <c r="T87" s="74"/>
      <c r="U87" s="38"/>
      <c r="V87" s="38"/>
      <c r="W87" s="38"/>
      <c r="X87" s="38"/>
      <c r="Y87" s="38"/>
      <c r="Z87" s="38"/>
    </row>
    <row r="88" customFormat="false" ht="12.75" hidden="false" customHeight="true" outlineLevel="0" collapsed="false">
      <c r="A88" s="43"/>
      <c r="B88" s="75"/>
      <c r="C88" s="76"/>
      <c r="D88" s="77"/>
      <c r="E88" s="78"/>
      <c r="F88" s="78"/>
      <c r="G88" s="79"/>
      <c r="H88" s="79"/>
      <c r="I88" s="79"/>
      <c r="J88" s="78"/>
      <c r="K88" s="77"/>
      <c r="L88" s="74"/>
      <c r="M88" s="74"/>
      <c r="N88" s="74"/>
      <c r="O88" s="74"/>
      <c r="P88" s="74"/>
      <c r="Q88" s="74"/>
      <c r="R88" s="74"/>
      <c r="S88" s="74"/>
      <c r="T88" s="74"/>
      <c r="U88" s="38"/>
      <c r="V88" s="38"/>
      <c r="W88" s="38"/>
      <c r="X88" s="38"/>
      <c r="Y88" s="38"/>
      <c r="Z88" s="38"/>
    </row>
    <row r="89" customFormat="false" ht="12.75" hidden="false" customHeight="true" outlineLevel="0" collapsed="false">
      <c r="A89" s="43"/>
      <c r="B89" s="75"/>
      <c r="C89" s="76"/>
      <c r="D89" s="77"/>
      <c r="E89" s="78"/>
      <c r="F89" s="78"/>
      <c r="G89" s="79"/>
      <c r="H89" s="79"/>
      <c r="I89" s="79"/>
      <c r="J89" s="78"/>
      <c r="K89" s="77"/>
      <c r="L89" s="74"/>
      <c r="M89" s="74"/>
      <c r="N89" s="74"/>
      <c r="O89" s="74"/>
      <c r="P89" s="74"/>
      <c r="Q89" s="74"/>
      <c r="R89" s="74"/>
      <c r="S89" s="74"/>
      <c r="T89" s="74"/>
      <c r="U89" s="38"/>
      <c r="V89" s="38"/>
      <c r="W89" s="38"/>
      <c r="X89" s="38"/>
      <c r="Y89" s="38"/>
      <c r="Z89" s="38"/>
    </row>
    <row r="90" customFormat="false" ht="12.75" hidden="false" customHeight="true" outlineLevel="0" collapsed="false">
      <c r="A90" s="43"/>
      <c r="B90" s="75"/>
      <c r="C90" s="76"/>
      <c r="D90" s="77"/>
      <c r="E90" s="78"/>
      <c r="F90" s="78"/>
      <c r="G90" s="79"/>
      <c r="H90" s="79"/>
      <c r="I90" s="79"/>
      <c r="J90" s="78"/>
      <c r="K90" s="77"/>
      <c r="L90" s="74"/>
      <c r="M90" s="74"/>
      <c r="N90" s="74"/>
      <c r="O90" s="74"/>
      <c r="P90" s="74"/>
      <c r="Q90" s="74"/>
      <c r="R90" s="74"/>
      <c r="S90" s="74"/>
      <c r="T90" s="74"/>
      <c r="U90" s="38"/>
      <c r="V90" s="38"/>
      <c r="W90" s="38"/>
      <c r="X90" s="38"/>
      <c r="Y90" s="38"/>
      <c r="Z90" s="38"/>
    </row>
    <row r="91" customFormat="false" ht="12.75" hidden="false" customHeight="true" outlineLevel="0" collapsed="false">
      <c r="A91" s="43"/>
      <c r="B91" s="75"/>
      <c r="C91" s="76"/>
      <c r="D91" s="77"/>
      <c r="E91" s="78"/>
      <c r="F91" s="78"/>
      <c r="G91" s="79"/>
      <c r="H91" s="79"/>
      <c r="I91" s="79"/>
      <c r="J91" s="78"/>
      <c r="K91" s="77"/>
      <c r="L91" s="74"/>
      <c r="M91" s="74"/>
      <c r="N91" s="74"/>
      <c r="O91" s="74"/>
      <c r="P91" s="74"/>
      <c r="Q91" s="74"/>
      <c r="R91" s="74"/>
      <c r="S91" s="74"/>
      <c r="T91" s="74"/>
      <c r="U91" s="38"/>
      <c r="V91" s="38"/>
      <c r="W91" s="38"/>
      <c r="X91" s="38"/>
      <c r="Y91" s="38"/>
      <c r="Z91" s="38"/>
    </row>
    <row r="92" customFormat="false" ht="12.75" hidden="false" customHeight="true" outlineLevel="0" collapsed="false">
      <c r="A92" s="43"/>
      <c r="B92" s="75"/>
      <c r="C92" s="76"/>
      <c r="D92" s="77"/>
      <c r="E92" s="78"/>
      <c r="F92" s="78"/>
      <c r="G92" s="79"/>
      <c r="H92" s="79"/>
      <c r="I92" s="79"/>
      <c r="J92" s="78"/>
      <c r="K92" s="77"/>
      <c r="L92" s="74"/>
      <c r="M92" s="74"/>
      <c r="N92" s="74"/>
      <c r="O92" s="74"/>
      <c r="P92" s="74"/>
      <c r="Q92" s="74"/>
      <c r="R92" s="74"/>
      <c r="S92" s="74"/>
      <c r="T92" s="74"/>
      <c r="U92" s="38"/>
      <c r="V92" s="38"/>
      <c r="W92" s="38"/>
      <c r="X92" s="38"/>
      <c r="Y92" s="38"/>
      <c r="Z92" s="38"/>
    </row>
    <row r="93" customFormat="false" ht="12.75" hidden="false" customHeight="true" outlineLevel="0" collapsed="false">
      <c r="A93" s="43"/>
      <c r="B93" s="75"/>
      <c r="C93" s="76"/>
      <c r="D93" s="77"/>
      <c r="E93" s="78"/>
      <c r="F93" s="78"/>
      <c r="G93" s="79"/>
      <c r="H93" s="79"/>
      <c r="I93" s="79"/>
      <c r="J93" s="78"/>
      <c r="K93" s="77"/>
      <c r="L93" s="74"/>
      <c r="M93" s="74"/>
      <c r="N93" s="74"/>
      <c r="O93" s="74"/>
      <c r="P93" s="74"/>
      <c r="Q93" s="74"/>
      <c r="R93" s="74"/>
      <c r="S93" s="74"/>
      <c r="T93" s="74"/>
      <c r="U93" s="38"/>
      <c r="V93" s="38"/>
      <c r="W93" s="38"/>
      <c r="X93" s="38"/>
      <c r="Y93" s="38"/>
      <c r="Z93" s="38"/>
    </row>
    <row r="94" customFormat="false" ht="12.75" hidden="false" customHeight="true" outlineLevel="0" collapsed="false">
      <c r="A94" s="43"/>
      <c r="B94" s="75"/>
      <c r="C94" s="76"/>
      <c r="D94" s="77"/>
      <c r="E94" s="78"/>
      <c r="F94" s="78"/>
      <c r="G94" s="79"/>
      <c r="H94" s="79"/>
      <c r="I94" s="79"/>
      <c r="J94" s="78"/>
      <c r="K94" s="77"/>
      <c r="L94" s="74"/>
      <c r="M94" s="74"/>
      <c r="N94" s="74"/>
      <c r="O94" s="74"/>
      <c r="P94" s="74"/>
      <c r="Q94" s="74"/>
      <c r="R94" s="74"/>
      <c r="S94" s="74"/>
      <c r="T94" s="74"/>
      <c r="U94" s="38"/>
      <c r="V94" s="38"/>
      <c r="W94" s="38"/>
      <c r="X94" s="38"/>
      <c r="Y94" s="38"/>
      <c r="Z94" s="38"/>
    </row>
    <row r="95" customFormat="false" ht="12.75" hidden="false" customHeight="true" outlineLevel="0" collapsed="false">
      <c r="A95" s="43"/>
      <c r="B95" s="75"/>
      <c r="C95" s="76"/>
      <c r="D95" s="77"/>
      <c r="E95" s="78"/>
      <c r="F95" s="78"/>
      <c r="G95" s="79"/>
      <c r="H95" s="79"/>
      <c r="I95" s="79"/>
      <c r="J95" s="78"/>
      <c r="K95" s="77"/>
      <c r="L95" s="74"/>
      <c r="M95" s="74"/>
      <c r="N95" s="74"/>
      <c r="O95" s="74"/>
      <c r="P95" s="74"/>
      <c r="Q95" s="74"/>
      <c r="R95" s="74"/>
      <c r="S95" s="74"/>
      <c r="T95" s="74"/>
      <c r="U95" s="38"/>
      <c r="V95" s="38"/>
      <c r="W95" s="38"/>
      <c r="X95" s="38"/>
      <c r="Y95" s="38"/>
      <c r="Z95" s="38"/>
    </row>
    <row r="96" customFormat="false" ht="12.75" hidden="false" customHeight="true" outlineLevel="0" collapsed="false">
      <c r="A96" s="43"/>
      <c r="B96" s="75"/>
      <c r="C96" s="76"/>
      <c r="D96" s="77"/>
      <c r="E96" s="78"/>
      <c r="F96" s="78"/>
      <c r="G96" s="79"/>
      <c r="H96" s="79"/>
      <c r="I96" s="79"/>
      <c r="J96" s="78"/>
      <c r="K96" s="77"/>
      <c r="L96" s="74"/>
      <c r="M96" s="74"/>
      <c r="N96" s="74"/>
      <c r="O96" s="74"/>
      <c r="P96" s="74"/>
      <c r="Q96" s="74"/>
      <c r="R96" s="74"/>
      <c r="S96" s="74"/>
      <c r="T96" s="74"/>
      <c r="U96" s="38"/>
      <c r="V96" s="38"/>
      <c r="W96" s="38"/>
      <c r="X96" s="38"/>
      <c r="Y96" s="38"/>
      <c r="Z96" s="38"/>
    </row>
    <row r="97" customFormat="false" ht="12.75" hidden="false" customHeight="true" outlineLevel="0" collapsed="false">
      <c r="A97" s="43"/>
      <c r="B97" s="75"/>
      <c r="C97" s="76"/>
      <c r="D97" s="77"/>
      <c r="E97" s="78"/>
      <c r="F97" s="78"/>
      <c r="G97" s="79"/>
      <c r="H97" s="79"/>
      <c r="I97" s="79"/>
      <c r="J97" s="78"/>
      <c r="K97" s="77"/>
      <c r="L97" s="74"/>
      <c r="M97" s="74"/>
      <c r="N97" s="74"/>
      <c r="O97" s="74"/>
      <c r="P97" s="74"/>
      <c r="Q97" s="74"/>
      <c r="R97" s="74"/>
      <c r="S97" s="74"/>
      <c r="T97" s="74"/>
      <c r="U97" s="38"/>
      <c r="V97" s="38"/>
      <c r="W97" s="38"/>
      <c r="X97" s="38"/>
      <c r="Y97" s="38"/>
      <c r="Z97" s="38"/>
    </row>
    <row r="98" customFormat="false" ht="12.75" hidden="false" customHeight="true" outlineLevel="0" collapsed="false">
      <c r="A98" s="43"/>
      <c r="B98" s="75"/>
      <c r="C98" s="76"/>
      <c r="D98" s="77"/>
      <c r="E98" s="78"/>
      <c r="F98" s="78"/>
      <c r="G98" s="79"/>
      <c r="H98" s="79"/>
      <c r="I98" s="79"/>
      <c r="J98" s="78"/>
      <c r="K98" s="77"/>
      <c r="L98" s="74"/>
      <c r="M98" s="74"/>
      <c r="N98" s="74"/>
      <c r="O98" s="74"/>
      <c r="P98" s="74"/>
      <c r="Q98" s="74"/>
      <c r="R98" s="74"/>
      <c r="S98" s="74"/>
      <c r="T98" s="74"/>
      <c r="U98" s="38"/>
      <c r="V98" s="38"/>
      <c r="W98" s="38"/>
      <c r="X98" s="38"/>
      <c r="Y98" s="38"/>
      <c r="Z98" s="38"/>
    </row>
    <row r="99" customFormat="false" ht="12.75" hidden="false" customHeight="true" outlineLevel="0" collapsed="false">
      <c r="A99" s="43"/>
      <c r="B99" s="75"/>
      <c r="C99" s="76"/>
      <c r="D99" s="77"/>
      <c r="E99" s="78"/>
      <c r="F99" s="78"/>
      <c r="G99" s="79"/>
      <c r="H99" s="79"/>
      <c r="I99" s="79"/>
      <c r="J99" s="78"/>
      <c r="K99" s="77"/>
      <c r="L99" s="74"/>
      <c r="M99" s="74"/>
      <c r="N99" s="74"/>
      <c r="O99" s="74"/>
      <c r="P99" s="74"/>
      <c r="Q99" s="74"/>
      <c r="R99" s="74"/>
      <c r="S99" s="74"/>
      <c r="T99" s="74"/>
      <c r="U99" s="38"/>
      <c r="V99" s="38"/>
      <c r="W99" s="38"/>
      <c r="X99" s="38"/>
      <c r="Y99" s="38"/>
      <c r="Z99" s="38"/>
    </row>
    <row r="100" customFormat="false" ht="12.75" hidden="false" customHeight="true" outlineLevel="0" collapsed="false">
      <c r="A100" s="43"/>
      <c r="B100" s="75"/>
      <c r="C100" s="76"/>
      <c r="D100" s="77"/>
      <c r="E100" s="78"/>
      <c r="F100" s="78"/>
      <c r="G100" s="79"/>
      <c r="H100" s="79"/>
      <c r="I100" s="79"/>
      <c r="J100" s="78"/>
      <c r="K100" s="77"/>
      <c r="L100" s="74"/>
      <c r="M100" s="74"/>
      <c r="N100" s="74"/>
      <c r="O100" s="74"/>
      <c r="P100" s="74"/>
      <c r="Q100" s="74"/>
      <c r="R100" s="74"/>
      <c r="S100" s="74"/>
      <c r="T100" s="74"/>
      <c r="U100" s="38"/>
      <c r="V100" s="38"/>
      <c r="W100" s="38"/>
      <c r="X100" s="38"/>
      <c r="Y100" s="38"/>
      <c r="Z100" s="38"/>
    </row>
    <row r="101" customFormat="false" ht="12.75" hidden="false" customHeight="true" outlineLevel="0" collapsed="false">
      <c r="A101" s="43"/>
      <c r="B101" s="75"/>
      <c r="C101" s="76"/>
      <c r="D101" s="77"/>
      <c r="E101" s="78"/>
      <c r="F101" s="78"/>
      <c r="G101" s="79"/>
      <c r="H101" s="79"/>
      <c r="I101" s="79"/>
      <c r="J101" s="78"/>
      <c r="K101" s="77"/>
      <c r="L101" s="74"/>
      <c r="M101" s="74"/>
      <c r="N101" s="74"/>
      <c r="O101" s="74"/>
      <c r="P101" s="74"/>
      <c r="Q101" s="74"/>
      <c r="R101" s="74"/>
      <c r="S101" s="74"/>
      <c r="T101" s="74"/>
      <c r="U101" s="38"/>
      <c r="V101" s="38"/>
      <c r="W101" s="38"/>
      <c r="X101" s="38"/>
      <c r="Y101" s="38"/>
      <c r="Z101" s="38"/>
    </row>
    <row r="102" customFormat="false" ht="12.75" hidden="false" customHeight="true" outlineLevel="0" collapsed="false">
      <c r="A102" s="43"/>
      <c r="B102" s="75"/>
      <c r="C102" s="76"/>
      <c r="D102" s="77"/>
      <c r="E102" s="78"/>
      <c r="F102" s="78"/>
      <c r="G102" s="79"/>
      <c r="H102" s="79"/>
      <c r="I102" s="79"/>
      <c r="J102" s="78"/>
      <c r="K102" s="77"/>
      <c r="L102" s="74"/>
      <c r="M102" s="74"/>
      <c r="N102" s="74"/>
      <c r="O102" s="74"/>
      <c r="P102" s="74"/>
      <c r="Q102" s="74"/>
      <c r="R102" s="74"/>
      <c r="S102" s="74"/>
      <c r="T102" s="74"/>
      <c r="U102" s="38"/>
      <c r="V102" s="38"/>
      <c r="W102" s="38"/>
      <c r="X102" s="38"/>
      <c r="Y102" s="38"/>
      <c r="Z102" s="38"/>
    </row>
    <row r="103" customFormat="false" ht="12.75" hidden="false" customHeight="true" outlineLevel="0" collapsed="false">
      <c r="A103" s="43"/>
      <c r="B103" s="75"/>
      <c r="C103" s="76"/>
      <c r="D103" s="77"/>
      <c r="E103" s="78"/>
      <c r="F103" s="78"/>
      <c r="G103" s="79"/>
      <c r="H103" s="79"/>
      <c r="I103" s="79"/>
      <c r="J103" s="78"/>
      <c r="K103" s="77"/>
      <c r="L103" s="74"/>
      <c r="M103" s="74"/>
      <c r="N103" s="74"/>
      <c r="O103" s="74"/>
      <c r="P103" s="74"/>
      <c r="Q103" s="74"/>
      <c r="R103" s="74"/>
      <c r="S103" s="74"/>
      <c r="T103" s="74"/>
      <c r="U103" s="38"/>
      <c r="V103" s="38"/>
      <c r="W103" s="38"/>
      <c r="X103" s="38"/>
      <c r="Y103" s="38"/>
      <c r="Z103" s="38"/>
    </row>
    <row r="104" customFormat="false" ht="12.75" hidden="false" customHeight="true" outlineLevel="0" collapsed="false">
      <c r="A104" s="43"/>
      <c r="B104" s="75"/>
      <c r="C104" s="76"/>
      <c r="D104" s="77"/>
      <c r="E104" s="78"/>
      <c r="F104" s="78"/>
      <c r="G104" s="79"/>
      <c r="H104" s="79"/>
      <c r="I104" s="79"/>
      <c r="J104" s="78"/>
      <c r="K104" s="77"/>
      <c r="L104" s="74"/>
      <c r="M104" s="74"/>
      <c r="N104" s="74"/>
      <c r="O104" s="74"/>
      <c r="P104" s="74"/>
      <c r="Q104" s="74"/>
      <c r="R104" s="74"/>
      <c r="S104" s="74"/>
      <c r="T104" s="74"/>
      <c r="U104" s="38"/>
      <c r="V104" s="38"/>
      <c r="W104" s="38"/>
      <c r="X104" s="38"/>
      <c r="Y104" s="38"/>
      <c r="Z104" s="38"/>
    </row>
    <row r="105" customFormat="false" ht="12.75" hidden="false" customHeight="true" outlineLevel="0" collapsed="false">
      <c r="A105" s="43"/>
      <c r="B105" s="75"/>
      <c r="C105" s="76"/>
      <c r="D105" s="77"/>
      <c r="E105" s="78"/>
      <c r="F105" s="78"/>
      <c r="G105" s="79"/>
      <c r="H105" s="79"/>
      <c r="I105" s="79"/>
      <c r="J105" s="78"/>
      <c r="K105" s="77"/>
      <c r="L105" s="74"/>
      <c r="M105" s="74"/>
      <c r="N105" s="74"/>
      <c r="O105" s="74"/>
      <c r="P105" s="74"/>
      <c r="Q105" s="74"/>
      <c r="R105" s="74"/>
      <c r="S105" s="74"/>
      <c r="T105" s="74"/>
      <c r="U105" s="38"/>
      <c r="V105" s="38"/>
      <c r="W105" s="38"/>
      <c r="X105" s="38"/>
      <c r="Y105" s="38"/>
      <c r="Z105" s="38"/>
    </row>
    <row r="106" customFormat="false" ht="12.75" hidden="false" customHeight="true" outlineLevel="0" collapsed="false">
      <c r="A106" s="43"/>
      <c r="B106" s="75"/>
      <c r="C106" s="76"/>
      <c r="D106" s="77"/>
      <c r="E106" s="78"/>
      <c r="F106" s="78"/>
      <c r="G106" s="79"/>
      <c r="H106" s="79"/>
      <c r="I106" s="79"/>
      <c r="J106" s="78"/>
      <c r="K106" s="77"/>
      <c r="L106" s="74"/>
      <c r="M106" s="74"/>
      <c r="N106" s="74"/>
      <c r="O106" s="74"/>
      <c r="P106" s="74"/>
      <c r="Q106" s="74"/>
      <c r="R106" s="74"/>
      <c r="S106" s="74"/>
      <c r="T106" s="74"/>
      <c r="U106" s="38"/>
      <c r="V106" s="38"/>
      <c r="W106" s="38"/>
      <c r="X106" s="38"/>
      <c r="Y106" s="38"/>
      <c r="Z106" s="38"/>
    </row>
    <row r="107" customFormat="false" ht="12.75" hidden="false" customHeight="true" outlineLevel="0" collapsed="false">
      <c r="A107" s="43"/>
      <c r="B107" s="75"/>
      <c r="C107" s="76"/>
      <c r="D107" s="77"/>
      <c r="E107" s="78"/>
      <c r="F107" s="78"/>
      <c r="G107" s="79"/>
      <c r="H107" s="79"/>
      <c r="I107" s="79"/>
      <c r="J107" s="78"/>
      <c r="K107" s="77"/>
      <c r="L107" s="74"/>
      <c r="M107" s="74"/>
      <c r="N107" s="74"/>
      <c r="O107" s="74"/>
      <c r="P107" s="74"/>
      <c r="Q107" s="74"/>
      <c r="R107" s="74"/>
      <c r="S107" s="74"/>
      <c r="T107" s="74"/>
      <c r="U107" s="38"/>
      <c r="V107" s="38"/>
      <c r="W107" s="38"/>
      <c r="X107" s="38"/>
      <c r="Y107" s="38"/>
      <c r="Z107" s="38"/>
    </row>
    <row r="108" customFormat="false" ht="12.75" hidden="false" customHeight="true" outlineLevel="0" collapsed="false">
      <c r="A108" s="43"/>
      <c r="B108" s="75"/>
      <c r="C108" s="76"/>
      <c r="D108" s="77"/>
      <c r="E108" s="78"/>
      <c r="F108" s="78"/>
      <c r="G108" s="79"/>
      <c r="H108" s="79"/>
      <c r="I108" s="79"/>
      <c r="J108" s="78"/>
      <c r="K108" s="77"/>
      <c r="L108" s="74"/>
      <c r="M108" s="74"/>
      <c r="N108" s="74"/>
      <c r="O108" s="74"/>
      <c r="P108" s="74"/>
      <c r="Q108" s="74"/>
      <c r="R108" s="74"/>
      <c r="S108" s="74"/>
      <c r="T108" s="74"/>
      <c r="U108" s="38"/>
      <c r="V108" s="38"/>
      <c r="W108" s="38"/>
      <c r="X108" s="38"/>
      <c r="Y108" s="38"/>
      <c r="Z108" s="38"/>
    </row>
    <row r="109" customFormat="false" ht="12.75" hidden="false" customHeight="true" outlineLevel="0" collapsed="false">
      <c r="A109" s="43"/>
      <c r="B109" s="75"/>
      <c r="C109" s="76"/>
      <c r="D109" s="77"/>
      <c r="E109" s="78"/>
      <c r="F109" s="78"/>
      <c r="G109" s="79"/>
      <c r="H109" s="79"/>
      <c r="I109" s="79"/>
      <c r="J109" s="78"/>
      <c r="K109" s="77"/>
      <c r="L109" s="74"/>
      <c r="M109" s="74"/>
      <c r="N109" s="74"/>
      <c r="O109" s="74"/>
      <c r="P109" s="74"/>
      <c r="Q109" s="74"/>
      <c r="R109" s="74"/>
      <c r="S109" s="74"/>
      <c r="T109" s="74"/>
      <c r="U109" s="38"/>
      <c r="V109" s="38"/>
      <c r="W109" s="38"/>
      <c r="X109" s="38"/>
      <c r="Y109" s="38"/>
      <c r="Z109" s="38"/>
    </row>
    <row r="110" customFormat="false" ht="12.75" hidden="false" customHeight="true" outlineLevel="0" collapsed="false">
      <c r="A110" s="43"/>
      <c r="B110" s="75"/>
      <c r="C110" s="76"/>
      <c r="D110" s="77"/>
      <c r="E110" s="78"/>
      <c r="F110" s="78"/>
      <c r="G110" s="79"/>
      <c r="H110" s="79"/>
      <c r="I110" s="79"/>
      <c r="J110" s="78"/>
      <c r="K110" s="77"/>
      <c r="L110" s="74"/>
      <c r="M110" s="74"/>
      <c r="N110" s="74"/>
      <c r="O110" s="74"/>
      <c r="P110" s="74"/>
      <c r="Q110" s="74"/>
      <c r="R110" s="74"/>
      <c r="S110" s="74"/>
      <c r="T110" s="74"/>
      <c r="U110" s="38"/>
      <c r="V110" s="38"/>
      <c r="W110" s="38"/>
      <c r="X110" s="38"/>
      <c r="Y110" s="38"/>
      <c r="Z110" s="38"/>
    </row>
    <row r="111" customFormat="false" ht="12.75" hidden="false" customHeight="true" outlineLevel="0" collapsed="false">
      <c r="A111" s="43"/>
      <c r="B111" s="75"/>
      <c r="C111" s="76"/>
      <c r="D111" s="77"/>
      <c r="E111" s="78"/>
      <c r="F111" s="78"/>
      <c r="G111" s="79"/>
      <c r="H111" s="79"/>
      <c r="I111" s="79"/>
      <c r="J111" s="78"/>
      <c r="K111" s="77"/>
      <c r="L111" s="74"/>
      <c r="M111" s="74"/>
      <c r="N111" s="74"/>
      <c r="O111" s="74"/>
      <c r="P111" s="74"/>
      <c r="Q111" s="74"/>
      <c r="R111" s="74"/>
      <c r="S111" s="74"/>
      <c r="T111" s="74"/>
      <c r="U111" s="38"/>
      <c r="V111" s="38"/>
      <c r="W111" s="38"/>
      <c r="X111" s="38"/>
      <c r="Y111" s="38"/>
      <c r="Z111" s="38"/>
    </row>
    <row r="112" customFormat="false" ht="12.75" hidden="false" customHeight="true" outlineLevel="0" collapsed="false">
      <c r="A112" s="43"/>
      <c r="B112" s="75"/>
      <c r="C112" s="76"/>
      <c r="D112" s="77"/>
      <c r="E112" s="78"/>
      <c r="F112" s="78"/>
      <c r="G112" s="79"/>
      <c r="H112" s="79"/>
      <c r="I112" s="79"/>
      <c r="J112" s="78"/>
      <c r="K112" s="77"/>
      <c r="L112" s="74"/>
      <c r="M112" s="74"/>
      <c r="N112" s="74"/>
      <c r="O112" s="74"/>
      <c r="P112" s="74"/>
      <c r="Q112" s="74"/>
      <c r="R112" s="74"/>
      <c r="S112" s="74"/>
      <c r="T112" s="74"/>
      <c r="U112" s="38"/>
      <c r="V112" s="38"/>
      <c r="W112" s="38"/>
      <c r="X112" s="38"/>
      <c r="Y112" s="38"/>
      <c r="Z112" s="38"/>
    </row>
    <row r="113" customFormat="false" ht="12.75" hidden="false" customHeight="true" outlineLevel="0" collapsed="false">
      <c r="A113" s="43"/>
      <c r="B113" s="75"/>
      <c r="C113" s="76"/>
      <c r="D113" s="77"/>
      <c r="E113" s="78"/>
      <c r="F113" s="78"/>
      <c r="G113" s="79"/>
      <c r="H113" s="79"/>
      <c r="I113" s="79"/>
      <c r="J113" s="78"/>
      <c r="K113" s="77"/>
      <c r="L113" s="74"/>
      <c r="M113" s="74"/>
      <c r="N113" s="74"/>
      <c r="O113" s="74"/>
      <c r="P113" s="74"/>
      <c r="Q113" s="74"/>
      <c r="R113" s="74"/>
      <c r="S113" s="74"/>
      <c r="T113" s="74"/>
      <c r="U113" s="38"/>
      <c r="V113" s="38"/>
      <c r="W113" s="38"/>
      <c r="X113" s="38"/>
      <c r="Y113" s="38"/>
      <c r="Z113" s="38"/>
    </row>
    <row r="114" customFormat="false" ht="12.75" hidden="false" customHeight="true" outlineLevel="0" collapsed="false">
      <c r="A114" s="43"/>
      <c r="B114" s="75"/>
      <c r="C114" s="76"/>
      <c r="D114" s="77"/>
      <c r="E114" s="78"/>
      <c r="F114" s="78"/>
      <c r="G114" s="79"/>
      <c r="H114" s="79"/>
      <c r="I114" s="79"/>
      <c r="J114" s="78"/>
      <c r="K114" s="77"/>
      <c r="L114" s="74"/>
      <c r="M114" s="74"/>
      <c r="N114" s="74"/>
      <c r="O114" s="74"/>
      <c r="P114" s="74"/>
      <c r="Q114" s="74"/>
      <c r="R114" s="74"/>
      <c r="S114" s="74"/>
      <c r="T114" s="74"/>
      <c r="U114" s="38"/>
      <c r="V114" s="38"/>
      <c r="W114" s="38"/>
      <c r="X114" s="38"/>
      <c r="Y114" s="38"/>
      <c r="Z114" s="38"/>
    </row>
    <row r="115" customFormat="false" ht="12.75" hidden="false" customHeight="true" outlineLevel="0" collapsed="false">
      <c r="A115" s="43"/>
      <c r="B115" s="75"/>
      <c r="C115" s="76"/>
      <c r="D115" s="77"/>
      <c r="E115" s="78"/>
      <c r="F115" s="78"/>
      <c r="G115" s="79"/>
      <c r="H115" s="79"/>
      <c r="I115" s="79"/>
      <c r="J115" s="78"/>
      <c r="K115" s="77"/>
      <c r="L115" s="74"/>
      <c r="M115" s="74"/>
      <c r="N115" s="74"/>
      <c r="O115" s="74"/>
      <c r="P115" s="74"/>
      <c r="Q115" s="74"/>
      <c r="R115" s="74"/>
      <c r="S115" s="74"/>
      <c r="T115" s="74"/>
      <c r="U115" s="38"/>
      <c r="V115" s="38"/>
      <c r="W115" s="38"/>
      <c r="X115" s="38"/>
      <c r="Y115" s="38"/>
      <c r="Z115" s="38"/>
    </row>
    <row r="116" customFormat="false" ht="12.75" hidden="false" customHeight="true" outlineLevel="0" collapsed="false">
      <c r="A116" s="43"/>
      <c r="B116" s="75"/>
      <c r="C116" s="76"/>
      <c r="D116" s="77"/>
      <c r="E116" s="78"/>
      <c r="F116" s="78"/>
      <c r="G116" s="79"/>
      <c r="H116" s="79"/>
      <c r="I116" s="79"/>
      <c r="J116" s="78"/>
      <c r="K116" s="77"/>
      <c r="L116" s="74"/>
      <c r="M116" s="74"/>
      <c r="N116" s="74"/>
      <c r="O116" s="74"/>
      <c r="P116" s="74"/>
      <c r="Q116" s="74"/>
      <c r="R116" s="74"/>
      <c r="S116" s="74"/>
      <c r="T116" s="74"/>
      <c r="U116" s="38"/>
      <c r="V116" s="38"/>
      <c r="W116" s="38"/>
      <c r="X116" s="38"/>
      <c r="Y116" s="38"/>
      <c r="Z116" s="38"/>
    </row>
    <row r="117" customFormat="false" ht="12.75" hidden="false" customHeight="true" outlineLevel="0" collapsed="false">
      <c r="A117" s="43"/>
      <c r="B117" s="75"/>
      <c r="C117" s="76"/>
      <c r="D117" s="77"/>
      <c r="E117" s="78"/>
      <c r="F117" s="78"/>
      <c r="G117" s="79"/>
      <c r="H117" s="79"/>
      <c r="I117" s="79"/>
      <c r="J117" s="78"/>
      <c r="K117" s="77"/>
      <c r="L117" s="74"/>
      <c r="M117" s="74"/>
      <c r="N117" s="74"/>
      <c r="O117" s="74"/>
      <c r="P117" s="74"/>
      <c r="Q117" s="74"/>
      <c r="R117" s="74"/>
      <c r="S117" s="74"/>
      <c r="T117" s="74"/>
      <c r="U117" s="38"/>
      <c r="V117" s="38"/>
      <c r="W117" s="38"/>
      <c r="X117" s="38"/>
      <c r="Y117" s="38"/>
      <c r="Z117" s="38"/>
    </row>
    <row r="118" customFormat="false" ht="12.75" hidden="false" customHeight="true" outlineLevel="0" collapsed="false">
      <c r="A118" s="43"/>
      <c r="B118" s="75"/>
      <c r="C118" s="76"/>
      <c r="D118" s="77"/>
      <c r="E118" s="78"/>
      <c r="F118" s="78"/>
      <c r="G118" s="79"/>
      <c r="H118" s="79"/>
      <c r="I118" s="79"/>
      <c r="J118" s="78"/>
      <c r="K118" s="77"/>
      <c r="L118" s="74"/>
      <c r="M118" s="74"/>
      <c r="N118" s="74"/>
      <c r="O118" s="74"/>
      <c r="P118" s="74"/>
      <c r="Q118" s="74"/>
      <c r="R118" s="74"/>
      <c r="S118" s="74"/>
      <c r="T118" s="74"/>
      <c r="U118" s="38"/>
      <c r="V118" s="38"/>
      <c r="W118" s="38"/>
      <c r="X118" s="38"/>
      <c r="Y118" s="38"/>
      <c r="Z118" s="38"/>
    </row>
    <row r="119" customFormat="false" ht="12.75" hidden="false" customHeight="true" outlineLevel="0" collapsed="false">
      <c r="A119" s="43"/>
      <c r="B119" s="75"/>
      <c r="C119" s="76"/>
      <c r="D119" s="77"/>
      <c r="E119" s="78"/>
      <c r="F119" s="78"/>
      <c r="G119" s="79"/>
      <c r="H119" s="79"/>
      <c r="I119" s="79"/>
      <c r="J119" s="78"/>
      <c r="K119" s="77"/>
      <c r="L119" s="74"/>
      <c r="M119" s="74"/>
      <c r="N119" s="74"/>
      <c r="O119" s="74"/>
      <c r="P119" s="74"/>
      <c r="Q119" s="74"/>
      <c r="R119" s="74"/>
      <c r="S119" s="74"/>
      <c r="T119" s="74"/>
      <c r="U119" s="38"/>
      <c r="V119" s="38"/>
      <c r="W119" s="38"/>
      <c r="X119" s="38"/>
      <c r="Y119" s="38"/>
      <c r="Z119" s="38"/>
    </row>
    <row r="120" customFormat="false" ht="12.75" hidden="false" customHeight="true" outlineLevel="0" collapsed="false">
      <c r="A120" s="43"/>
      <c r="B120" s="75"/>
      <c r="C120" s="76"/>
      <c r="D120" s="77"/>
      <c r="E120" s="78"/>
      <c r="F120" s="78"/>
      <c r="G120" s="79"/>
      <c r="H120" s="79"/>
      <c r="I120" s="79"/>
      <c r="J120" s="78"/>
      <c r="K120" s="77"/>
      <c r="L120" s="74"/>
      <c r="M120" s="74"/>
      <c r="N120" s="74"/>
      <c r="O120" s="74"/>
      <c r="P120" s="74"/>
      <c r="Q120" s="74"/>
      <c r="R120" s="74"/>
      <c r="S120" s="74"/>
      <c r="T120" s="74"/>
      <c r="U120" s="38"/>
      <c r="V120" s="38"/>
      <c r="W120" s="38"/>
      <c r="X120" s="38"/>
      <c r="Y120" s="38"/>
      <c r="Z120" s="38"/>
    </row>
    <row r="121" customFormat="false" ht="12.75" hidden="false" customHeight="true" outlineLevel="0" collapsed="false">
      <c r="A121" s="43"/>
      <c r="B121" s="80"/>
      <c r="C121" s="76"/>
      <c r="D121" s="77"/>
      <c r="E121" s="78"/>
      <c r="F121" s="78"/>
      <c r="G121" s="79"/>
      <c r="H121" s="79"/>
      <c r="I121" s="79"/>
      <c r="J121" s="78"/>
      <c r="K121" s="77"/>
      <c r="L121" s="74"/>
      <c r="M121" s="74"/>
      <c r="N121" s="74"/>
      <c r="O121" s="74"/>
      <c r="P121" s="74"/>
      <c r="Q121" s="74"/>
      <c r="R121" s="74"/>
      <c r="S121" s="74"/>
      <c r="T121" s="74"/>
      <c r="U121" s="38"/>
      <c r="V121" s="38"/>
      <c r="W121" s="38"/>
      <c r="X121" s="38"/>
      <c r="Y121" s="38"/>
      <c r="Z121" s="38"/>
    </row>
    <row r="122" customFormat="false" ht="12.75" hidden="false" customHeight="true" outlineLevel="0" collapsed="false">
      <c r="A122" s="43"/>
      <c r="B122" s="75"/>
      <c r="C122" s="76"/>
      <c r="D122" s="77"/>
      <c r="E122" s="78"/>
      <c r="F122" s="78"/>
      <c r="G122" s="79"/>
      <c r="H122" s="79"/>
      <c r="I122" s="79"/>
      <c r="J122" s="78"/>
      <c r="K122" s="77"/>
      <c r="L122" s="74"/>
      <c r="M122" s="74"/>
      <c r="N122" s="74"/>
      <c r="O122" s="74"/>
      <c r="P122" s="74"/>
      <c r="Q122" s="74"/>
      <c r="R122" s="74"/>
      <c r="S122" s="74"/>
      <c r="T122" s="74"/>
      <c r="U122" s="38"/>
      <c r="V122" s="38"/>
      <c r="W122" s="38"/>
      <c r="X122" s="38"/>
      <c r="Y122" s="38"/>
      <c r="Z122" s="38"/>
    </row>
    <row r="123" customFormat="false" ht="12.75" hidden="false" customHeight="true" outlineLevel="0" collapsed="false">
      <c r="A123" s="43"/>
      <c r="B123" s="75"/>
      <c r="C123" s="76"/>
      <c r="D123" s="77"/>
      <c r="E123" s="78"/>
      <c r="F123" s="78"/>
      <c r="G123" s="79"/>
      <c r="H123" s="79"/>
      <c r="I123" s="79"/>
      <c r="J123" s="78"/>
      <c r="K123" s="77"/>
      <c r="L123" s="74"/>
      <c r="M123" s="74"/>
      <c r="N123" s="74"/>
      <c r="O123" s="74"/>
      <c r="P123" s="74"/>
      <c r="Q123" s="74"/>
      <c r="R123" s="74"/>
      <c r="S123" s="74"/>
      <c r="T123" s="74"/>
      <c r="U123" s="38"/>
      <c r="V123" s="38"/>
      <c r="W123" s="38"/>
      <c r="X123" s="38"/>
      <c r="Y123" s="38"/>
      <c r="Z123" s="38"/>
    </row>
    <row r="124" customFormat="false" ht="12.75" hidden="false" customHeight="true" outlineLevel="0" collapsed="false">
      <c r="A124" s="43"/>
      <c r="B124" s="75"/>
      <c r="C124" s="76"/>
      <c r="D124" s="77"/>
      <c r="E124" s="78"/>
      <c r="F124" s="78"/>
      <c r="G124" s="79"/>
      <c r="H124" s="79"/>
      <c r="I124" s="79"/>
      <c r="J124" s="78"/>
      <c r="K124" s="77"/>
      <c r="L124" s="74"/>
      <c r="M124" s="74"/>
      <c r="N124" s="74"/>
      <c r="O124" s="74"/>
      <c r="P124" s="74"/>
      <c r="Q124" s="74"/>
      <c r="R124" s="74"/>
      <c r="S124" s="74"/>
      <c r="T124" s="74"/>
      <c r="U124" s="38"/>
      <c r="V124" s="38"/>
      <c r="W124" s="38"/>
      <c r="X124" s="38"/>
      <c r="Y124" s="38"/>
      <c r="Z124" s="38"/>
    </row>
    <row r="125" customFormat="false" ht="12.75" hidden="false" customHeight="true" outlineLevel="0" collapsed="false">
      <c r="A125" s="43"/>
      <c r="B125" s="75"/>
      <c r="C125" s="76"/>
      <c r="D125" s="77"/>
      <c r="E125" s="78"/>
      <c r="F125" s="78"/>
      <c r="G125" s="79"/>
      <c r="H125" s="79"/>
      <c r="I125" s="79"/>
      <c r="J125" s="78"/>
      <c r="K125" s="77"/>
      <c r="L125" s="74"/>
      <c r="M125" s="74"/>
      <c r="N125" s="74"/>
      <c r="O125" s="74"/>
      <c r="P125" s="74"/>
      <c r="Q125" s="74"/>
      <c r="R125" s="74"/>
      <c r="S125" s="74"/>
      <c r="T125" s="74"/>
      <c r="U125" s="38"/>
      <c r="V125" s="38"/>
      <c r="W125" s="38"/>
      <c r="X125" s="38"/>
      <c r="Y125" s="38"/>
      <c r="Z125" s="38"/>
    </row>
    <row r="126" customFormat="false" ht="12.75" hidden="false" customHeight="true" outlineLevel="0" collapsed="false">
      <c r="A126" s="43"/>
      <c r="B126" s="75"/>
      <c r="C126" s="76"/>
      <c r="D126" s="77"/>
      <c r="E126" s="78"/>
      <c r="F126" s="78"/>
      <c r="G126" s="79"/>
      <c r="H126" s="79"/>
      <c r="I126" s="79"/>
      <c r="J126" s="78"/>
      <c r="K126" s="77"/>
      <c r="L126" s="74"/>
      <c r="M126" s="74"/>
      <c r="N126" s="74"/>
      <c r="O126" s="74"/>
      <c r="P126" s="74"/>
      <c r="Q126" s="74"/>
      <c r="R126" s="74"/>
      <c r="S126" s="74"/>
      <c r="T126" s="74"/>
      <c r="U126" s="38"/>
      <c r="V126" s="38"/>
      <c r="W126" s="38"/>
      <c r="X126" s="38"/>
      <c r="Y126" s="38"/>
      <c r="Z126" s="38"/>
    </row>
    <row r="127" customFormat="false" ht="12.75" hidden="false" customHeight="true" outlineLevel="0" collapsed="false">
      <c r="A127" s="43"/>
      <c r="B127" s="80"/>
      <c r="C127" s="76"/>
      <c r="D127" s="77"/>
      <c r="E127" s="78"/>
      <c r="F127" s="78"/>
      <c r="G127" s="79"/>
      <c r="H127" s="79"/>
      <c r="I127" s="79"/>
      <c r="J127" s="78"/>
      <c r="K127" s="77"/>
      <c r="L127" s="74"/>
      <c r="M127" s="74"/>
      <c r="N127" s="74"/>
      <c r="O127" s="74"/>
      <c r="P127" s="74"/>
      <c r="Q127" s="74"/>
      <c r="R127" s="74"/>
      <c r="S127" s="74"/>
      <c r="T127" s="74"/>
      <c r="U127" s="38"/>
      <c r="V127" s="38"/>
      <c r="W127" s="38"/>
      <c r="X127" s="38"/>
      <c r="Y127" s="38"/>
      <c r="Z127" s="38"/>
    </row>
    <row r="128" customFormat="false" ht="12.75" hidden="false" customHeight="true" outlineLevel="0" collapsed="false">
      <c r="A128" s="43"/>
      <c r="B128" s="75"/>
      <c r="C128" s="76"/>
      <c r="D128" s="77"/>
      <c r="E128" s="78"/>
      <c r="F128" s="78"/>
      <c r="G128" s="79"/>
      <c r="H128" s="79"/>
      <c r="I128" s="79"/>
      <c r="J128" s="78"/>
      <c r="K128" s="77"/>
      <c r="L128" s="74"/>
      <c r="M128" s="74"/>
      <c r="N128" s="74"/>
      <c r="O128" s="74"/>
      <c r="P128" s="74"/>
      <c r="Q128" s="74"/>
      <c r="R128" s="74"/>
      <c r="S128" s="74"/>
      <c r="T128" s="74"/>
      <c r="U128" s="38"/>
      <c r="V128" s="38"/>
      <c r="W128" s="38"/>
      <c r="X128" s="38"/>
      <c r="Y128" s="38"/>
      <c r="Z128" s="38"/>
    </row>
    <row r="129" customFormat="false" ht="12.75" hidden="false" customHeight="true" outlineLevel="0" collapsed="false">
      <c r="A129" s="43"/>
      <c r="B129" s="75"/>
      <c r="C129" s="76"/>
      <c r="D129" s="77"/>
      <c r="E129" s="78"/>
      <c r="F129" s="78"/>
      <c r="G129" s="79"/>
      <c r="H129" s="79"/>
      <c r="I129" s="79"/>
      <c r="J129" s="78"/>
      <c r="K129" s="77"/>
      <c r="L129" s="74"/>
      <c r="M129" s="74"/>
      <c r="N129" s="74"/>
      <c r="O129" s="74"/>
      <c r="P129" s="74"/>
      <c r="Q129" s="74"/>
      <c r="R129" s="74"/>
      <c r="S129" s="74"/>
      <c r="T129" s="74"/>
      <c r="U129" s="38"/>
      <c r="V129" s="38"/>
      <c r="W129" s="38"/>
      <c r="X129" s="38"/>
      <c r="Y129" s="38"/>
      <c r="Z129" s="38"/>
    </row>
    <row r="130" customFormat="false" ht="12.75" hidden="false" customHeight="true" outlineLevel="0" collapsed="false">
      <c r="A130" s="43"/>
      <c r="B130" s="75"/>
      <c r="C130" s="76"/>
      <c r="D130" s="77"/>
      <c r="E130" s="78"/>
      <c r="F130" s="78"/>
      <c r="G130" s="79"/>
      <c r="H130" s="79"/>
      <c r="I130" s="79"/>
      <c r="J130" s="78"/>
      <c r="K130" s="77"/>
      <c r="L130" s="74"/>
      <c r="M130" s="74"/>
      <c r="N130" s="74"/>
      <c r="O130" s="74"/>
      <c r="P130" s="74"/>
      <c r="Q130" s="74"/>
      <c r="R130" s="74"/>
      <c r="S130" s="74"/>
      <c r="T130" s="74"/>
      <c r="U130" s="38"/>
      <c r="V130" s="38"/>
      <c r="W130" s="38"/>
      <c r="X130" s="38"/>
      <c r="Y130" s="38"/>
      <c r="Z130" s="38"/>
    </row>
    <row r="131" customFormat="false" ht="12.75" hidden="false" customHeight="true" outlineLevel="0" collapsed="false">
      <c r="A131" s="43"/>
      <c r="B131" s="75"/>
      <c r="C131" s="76"/>
      <c r="D131" s="77"/>
      <c r="E131" s="78"/>
      <c r="F131" s="78"/>
      <c r="G131" s="79"/>
      <c r="H131" s="79"/>
      <c r="I131" s="79"/>
      <c r="J131" s="78"/>
      <c r="K131" s="77"/>
      <c r="L131" s="74"/>
      <c r="M131" s="74"/>
      <c r="N131" s="74"/>
      <c r="O131" s="74"/>
      <c r="P131" s="74"/>
      <c r="Q131" s="74"/>
      <c r="R131" s="74"/>
      <c r="S131" s="74"/>
      <c r="T131" s="74"/>
      <c r="U131" s="38"/>
      <c r="V131" s="38"/>
      <c r="W131" s="38"/>
      <c r="X131" s="38"/>
      <c r="Y131" s="38"/>
      <c r="Z131" s="38"/>
    </row>
    <row r="132" customFormat="false" ht="12.75" hidden="false" customHeight="true" outlineLevel="0" collapsed="false">
      <c r="A132" s="43"/>
      <c r="B132" s="75"/>
      <c r="C132" s="76"/>
      <c r="D132" s="77"/>
      <c r="E132" s="78"/>
      <c r="F132" s="78"/>
      <c r="G132" s="79"/>
      <c r="H132" s="79"/>
      <c r="I132" s="79"/>
      <c r="J132" s="78"/>
      <c r="K132" s="77"/>
      <c r="L132" s="74"/>
      <c r="M132" s="74"/>
      <c r="N132" s="74"/>
      <c r="O132" s="74"/>
      <c r="P132" s="74"/>
      <c r="Q132" s="74"/>
      <c r="R132" s="74"/>
      <c r="S132" s="74"/>
      <c r="T132" s="74"/>
      <c r="U132" s="38"/>
      <c r="V132" s="38"/>
      <c r="W132" s="38"/>
      <c r="X132" s="38"/>
      <c r="Y132" s="38"/>
      <c r="Z132" s="38"/>
    </row>
    <row r="133" customFormat="false" ht="12.75" hidden="false" customHeight="true" outlineLevel="0" collapsed="false">
      <c r="A133" s="43"/>
      <c r="B133" s="75"/>
      <c r="C133" s="76"/>
      <c r="D133" s="77"/>
      <c r="E133" s="78"/>
      <c r="F133" s="78"/>
      <c r="G133" s="79"/>
      <c r="H133" s="79"/>
      <c r="I133" s="79"/>
      <c r="J133" s="78"/>
      <c r="K133" s="77"/>
      <c r="L133" s="74"/>
      <c r="M133" s="74"/>
      <c r="N133" s="74"/>
      <c r="O133" s="74"/>
      <c r="P133" s="74"/>
      <c r="Q133" s="74"/>
      <c r="R133" s="74"/>
      <c r="S133" s="74"/>
      <c r="T133" s="74"/>
      <c r="U133" s="38"/>
      <c r="V133" s="38"/>
      <c r="W133" s="38"/>
      <c r="X133" s="38"/>
      <c r="Y133" s="38"/>
      <c r="Z133" s="38"/>
    </row>
    <row r="134" customFormat="false" ht="12.75" hidden="false" customHeight="true" outlineLevel="0" collapsed="false">
      <c r="A134" s="43"/>
      <c r="B134" s="75"/>
      <c r="C134" s="76"/>
      <c r="D134" s="77"/>
      <c r="E134" s="78"/>
      <c r="F134" s="78"/>
      <c r="G134" s="79"/>
      <c r="H134" s="79"/>
      <c r="I134" s="79"/>
      <c r="J134" s="78"/>
      <c r="K134" s="77"/>
      <c r="L134" s="74"/>
      <c r="M134" s="74"/>
      <c r="N134" s="74"/>
      <c r="O134" s="74"/>
      <c r="P134" s="74"/>
      <c r="Q134" s="74"/>
      <c r="R134" s="74"/>
      <c r="S134" s="74"/>
      <c r="T134" s="74"/>
      <c r="U134" s="38"/>
      <c r="V134" s="38"/>
      <c r="W134" s="38"/>
      <c r="X134" s="38"/>
      <c r="Y134" s="38"/>
      <c r="Z134" s="38"/>
    </row>
    <row r="135" customFormat="false" ht="12.75" hidden="false" customHeight="true" outlineLevel="0" collapsed="false">
      <c r="A135" s="43"/>
      <c r="B135" s="75"/>
      <c r="C135" s="76"/>
      <c r="D135" s="77"/>
      <c r="E135" s="78"/>
      <c r="F135" s="78"/>
      <c r="G135" s="79"/>
      <c r="H135" s="79"/>
      <c r="I135" s="79"/>
      <c r="J135" s="78"/>
      <c r="K135" s="77"/>
      <c r="L135" s="74"/>
      <c r="M135" s="74"/>
      <c r="N135" s="74"/>
      <c r="O135" s="74"/>
      <c r="P135" s="74"/>
      <c r="Q135" s="74"/>
      <c r="R135" s="74"/>
      <c r="S135" s="74"/>
      <c r="T135" s="74"/>
      <c r="U135" s="38"/>
      <c r="V135" s="38"/>
      <c r="W135" s="38"/>
      <c r="X135" s="38"/>
      <c r="Y135" s="38"/>
      <c r="Z135" s="38"/>
    </row>
    <row r="136" customFormat="false" ht="12.75" hidden="false" customHeight="true" outlineLevel="0" collapsed="false">
      <c r="A136" s="43"/>
      <c r="B136" s="75"/>
      <c r="C136" s="76"/>
      <c r="D136" s="77"/>
      <c r="E136" s="78"/>
      <c r="F136" s="78"/>
      <c r="G136" s="79"/>
      <c r="H136" s="79"/>
      <c r="I136" s="79"/>
      <c r="J136" s="78"/>
      <c r="K136" s="77"/>
      <c r="L136" s="74"/>
      <c r="M136" s="74"/>
      <c r="N136" s="74"/>
      <c r="O136" s="74"/>
      <c r="P136" s="74"/>
      <c r="Q136" s="74"/>
      <c r="R136" s="74"/>
      <c r="S136" s="74"/>
      <c r="T136" s="74"/>
      <c r="U136" s="38"/>
      <c r="V136" s="38"/>
      <c r="W136" s="38"/>
      <c r="X136" s="38"/>
      <c r="Y136" s="38"/>
      <c r="Z136" s="38"/>
    </row>
    <row r="137" customFormat="false" ht="12.75" hidden="false" customHeight="true" outlineLevel="0" collapsed="false">
      <c r="A137" s="43"/>
      <c r="B137" s="75"/>
      <c r="C137" s="76"/>
      <c r="D137" s="77"/>
      <c r="E137" s="78"/>
      <c r="F137" s="78"/>
      <c r="G137" s="79"/>
      <c r="H137" s="79"/>
      <c r="I137" s="79"/>
      <c r="J137" s="78"/>
      <c r="K137" s="77"/>
      <c r="L137" s="74"/>
      <c r="M137" s="74"/>
      <c r="N137" s="74"/>
      <c r="O137" s="74"/>
      <c r="P137" s="74"/>
      <c r="Q137" s="74"/>
      <c r="R137" s="74"/>
      <c r="S137" s="74"/>
      <c r="T137" s="74"/>
      <c r="U137" s="38"/>
      <c r="V137" s="38"/>
      <c r="W137" s="38"/>
      <c r="X137" s="38"/>
      <c r="Y137" s="38"/>
      <c r="Z137" s="38"/>
    </row>
    <row r="138" customFormat="false" ht="12.75" hidden="false" customHeight="true" outlineLevel="0" collapsed="false">
      <c r="A138" s="43"/>
      <c r="B138" s="75"/>
      <c r="C138" s="76"/>
      <c r="D138" s="77"/>
      <c r="E138" s="78"/>
      <c r="F138" s="78"/>
      <c r="G138" s="79"/>
      <c r="H138" s="79"/>
      <c r="I138" s="79"/>
      <c r="J138" s="78"/>
      <c r="K138" s="77"/>
      <c r="L138" s="74"/>
      <c r="M138" s="74"/>
      <c r="N138" s="74"/>
      <c r="O138" s="74"/>
      <c r="P138" s="74"/>
      <c r="Q138" s="74"/>
      <c r="R138" s="74"/>
      <c r="S138" s="74"/>
      <c r="T138" s="74"/>
      <c r="U138" s="38"/>
      <c r="V138" s="38"/>
      <c r="W138" s="38"/>
      <c r="X138" s="38"/>
      <c r="Y138" s="38"/>
      <c r="Z138" s="38"/>
    </row>
    <row r="139" customFormat="false" ht="12.75" hidden="false" customHeight="true" outlineLevel="0" collapsed="false">
      <c r="A139" s="43"/>
      <c r="B139" s="75"/>
      <c r="C139" s="76"/>
      <c r="D139" s="77"/>
      <c r="E139" s="78"/>
      <c r="F139" s="78"/>
      <c r="G139" s="79"/>
      <c r="H139" s="79"/>
      <c r="I139" s="79"/>
      <c r="J139" s="78"/>
      <c r="K139" s="77"/>
      <c r="L139" s="74"/>
      <c r="M139" s="74"/>
      <c r="N139" s="74"/>
      <c r="O139" s="74"/>
      <c r="P139" s="74"/>
      <c r="Q139" s="74"/>
      <c r="R139" s="74"/>
      <c r="S139" s="74"/>
      <c r="T139" s="74"/>
      <c r="U139" s="38"/>
      <c r="V139" s="38"/>
      <c r="W139" s="38"/>
      <c r="X139" s="38"/>
      <c r="Y139" s="38"/>
      <c r="Z139" s="38"/>
    </row>
    <row r="140" customFormat="false" ht="12.75" hidden="false" customHeight="true" outlineLevel="0" collapsed="false">
      <c r="A140" s="43"/>
      <c r="B140" s="75"/>
      <c r="C140" s="76"/>
      <c r="D140" s="77"/>
      <c r="E140" s="78"/>
      <c r="F140" s="78"/>
      <c r="G140" s="79"/>
      <c r="H140" s="79"/>
      <c r="I140" s="79"/>
      <c r="J140" s="78"/>
      <c r="K140" s="77"/>
      <c r="L140" s="74"/>
      <c r="M140" s="74"/>
      <c r="N140" s="74"/>
      <c r="O140" s="74"/>
      <c r="P140" s="74"/>
      <c r="Q140" s="74"/>
      <c r="R140" s="74"/>
      <c r="S140" s="74"/>
      <c r="T140" s="74"/>
      <c r="U140" s="38"/>
      <c r="V140" s="38"/>
      <c r="W140" s="38"/>
      <c r="X140" s="38"/>
      <c r="Y140" s="38"/>
      <c r="Z140" s="38"/>
    </row>
    <row r="141" customFormat="false" ht="12.75" hidden="false" customHeight="true" outlineLevel="0" collapsed="false">
      <c r="A141" s="43"/>
      <c r="B141" s="75"/>
      <c r="C141" s="76"/>
      <c r="D141" s="77"/>
      <c r="E141" s="78"/>
      <c r="F141" s="78"/>
      <c r="G141" s="79"/>
      <c r="H141" s="79"/>
      <c r="I141" s="79"/>
      <c r="J141" s="78"/>
      <c r="K141" s="77"/>
      <c r="L141" s="74"/>
      <c r="M141" s="74"/>
      <c r="N141" s="74"/>
      <c r="O141" s="74"/>
      <c r="P141" s="74"/>
      <c r="Q141" s="74"/>
      <c r="R141" s="74"/>
      <c r="S141" s="74"/>
      <c r="T141" s="74"/>
      <c r="U141" s="38"/>
      <c r="V141" s="38"/>
      <c r="W141" s="38"/>
      <c r="X141" s="38"/>
      <c r="Y141" s="38"/>
      <c r="Z141" s="38"/>
    </row>
    <row r="142" customFormat="false" ht="12.75" hidden="false" customHeight="true" outlineLevel="0" collapsed="false">
      <c r="A142" s="43"/>
      <c r="B142" s="75"/>
      <c r="C142" s="76"/>
      <c r="D142" s="77"/>
      <c r="E142" s="78"/>
      <c r="F142" s="78"/>
      <c r="G142" s="79"/>
      <c r="H142" s="79"/>
      <c r="I142" s="79"/>
      <c r="J142" s="78"/>
      <c r="K142" s="77"/>
      <c r="L142" s="74"/>
      <c r="M142" s="74"/>
      <c r="N142" s="74"/>
      <c r="O142" s="74"/>
      <c r="P142" s="74"/>
      <c r="Q142" s="74"/>
      <c r="R142" s="74"/>
      <c r="S142" s="74"/>
      <c r="T142" s="74"/>
      <c r="U142" s="38"/>
      <c r="V142" s="38"/>
      <c r="W142" s="38"/>
      <c r="X142" s="38"/>
      <c r="Y142" s="38"/>
      <c r="Z142" s="38"/>
    </row>
    <row r="143" customFormat="false" ht="12.75" hidden="false" customHeight="true" outlineLevel="0" collapsed="false">
      <c r="A143" s="43"/>
      <c r="B143" s="75"/>
      <c r="C143" s="76"/>
      <c r="D143" s="77"/>
      <c r="E143" s="78"/>
      <c r="F143" s="78"/>
      <c r="G143" s="79"/>
      <c r="H143" s="79"/>
      <c r="I143" s="79"/>
      <c r="J143" s="78"/>
      <c r="K143" s="77"/>
      <c r="L143" s="74"/>
      <c r="M143" s="74"/>
      <c r="N143" s="74"/>
      <c r="O143" s="74"/>
      <c r="P143" s="74"/>
      <c r="Q143" s="74"/>
      <c r="R143" s="74"/>
      <c r="S143" s="74"/>
      <c r="T143" s="74"/>
      <c r="U143" s="38"/>
      <c r="V143" s="38"/>
      <c r="W143" s="38"/>
      <c r="X143" s="38"/>
      <c r="Y143" s="38"/>
      <c r="Z143" s="38"/>
    </row>
    <row r="144" customFormat="false" ht="12.75" hidden="false" customHeight="true" outlineLevel="0" collapsed="false">
      <c r="A144" s="43"/>
      <c r="B144" s="75"/>
      <c r="C144" s="76"/>
      <c r="D144" s="77"/>
      <c r="E144" s="78"/>
      <c r="F144" s="78"/>
      <c r="G144" s="79"/>
      <c r="H144" s="79"/>
      <c r="I144" s="79"/>
      <c r="J144" s="78"/>
      <c r="K144" s="77"/>
      <c r="L144" s="74"/>
      <c r="M144" s="74"/>
      <c r="N144" s="74"/>
      <c r="O144" s="74"/>
      <c r="P144" s="74"/>
      <c r="Q144" s="74"/>
      <c r="R144" s="74"/>
      <c r="S144" s="74"/>
      <c r="T144" s="74"/>
      <c r="U144" s="38"/>
      <c r="V144" s="38"/>
      <c r="W144" s="38"/>
      <c r="X144" s="38"/>
      <c r="Y144" s="38"/>
      <c r="Z144" s="38"/>
    </row>
    <row r="145" customFormat="false" ht="12.75" hidden="false" customHeight="true" outlineLevel="0" collapsed="false">
      <c r="A145" s="43"/>
      <c r="B145" s="75"/>
      <c r="C145" s="76"/>
      <c r="D145" s="77"/>
      <c r="E145" s="78"/>
      <c r="F145" s="78"/>
      <c r="G145" s="79"/>
      <c r="H145" s="79"/>
      <c r="I145" s="79"/>
      <c r="J145" s="78"/>
      <c r="K145" s="77"/>
      <c r="L145" s="74"/>
      <c r="M145" s="74"/>
      <c r="N145" s="74"/>
      <c r="O145" s="74"/>
      <c r="P145" s="74"/>
      <c r="Q145" s="74"/>
      <c r="R145" s="74"/>
      <c r="S145" s="74"/>
      <c r="T145" s="74"/>
      <c r="U145" s="38"/>
      <c r="V145" s="38"/>
      <c r="W145" s="38"/>
      <c r="X145" s="38"/>
      <c r="Y145" s="38"/>
      <c r="Z145" s="38"/>
    </row>
    <row r="146" customFormat="false" ht="12.75" hidden="false" customHeight="true" outlineLevel="0" collapsed="false">
      <c r="A146" s="43"/>
      <c r="B146" s="75"/>
      <c r="C146" s="76"/>
      <c r="D146" s="77"/>
      <c r="E146" s="78"/>
      <c r="F146" s="78"/>
      <c r="G146" s="79"/>
      <c r="H146" s="79"/>
      <c r="I146" s="79"/>
      <c r="J146" s="78"/>
      <c r="K146" s="77"/>
      <c r="L146" s="74"/>
      <c r="M146" s="74"/>
      <c r="N146" s="74"/>
      <c r="O146" s="74"/>
      <c r="P146" s="74"/>
      <c r="Q146" s="74"/>
      <c r="R146" s="74"/>
      <c r="S146" s="74"/>
      <c r="T146" s="74"/>
      <c r="U146" s="38"/>
      <c r="V146" s="38"/>
      <c r="W146" s="38"/>
      <c r="X146" s="38"/>
      <c r="Y146" s="38"/>
      <c r="Z146" s="38"/>
    </row>
    <row r="147" customFormat="false" ht="12.75" hidden="false" customHeight="true" outlineLevel="0" collapsed="false">
      <c r="A147" s="43"/>
      <c r="B147" s="75"/>
      <c r="C147" s="76"/>
      <c r="D147" s="77"/>
      <c r="E147" s="78"/>
      <c r="F147" s="78"/>
      <c r="G147" s="79"/>
      <c r="H147" s="79"/>
      <c r="I147" s="79"/>
      <c r="J147" s="78"/>
      <c r="K147" s="77"/>
      <c r="L147" s="74"/>
      <c r="M147" s="74"/>
      <c r="N147" s="74"/>
      <c r="O147" s="74"/>
      <c r="P147" s="74"/>
      <c r="Q147" s="74"/>
      <c r="R147" s="74"/>
      <c r="S147" s="74"/>
      <c r="T147" s="74"/>
      <c r="U147" s="38"/>
      <c r="V147" s="38"/>
      <c r="W147" s="38"/>
      <c r="X147" s="38"/>
      <c r="Y147" s="38"/>
      <c r="Z147" s="38"/>
    </row>
    <row r="148" customFormat="false" ht="12.75" hidden="false" customHeight="true" outlineLevel="0" collapsed="false">
      <c r="A148" s="43"/>
      <c r="B148" s="75"/>
      <c r="C148" s="76"/>
      <c r="D148" s="77"/>
      <c r="E148" s="78"/>
      <c r="F148" s="78"/>
      <c r="G148" s="79"/>
      <c r="H148" s="79"/>
      <c r="I148" s="79"/>
      <c r="J148" s="78"/>
      <c r="K148" s="77"/>
      <c r="L148" s="74"/>
      <c r="M148" s="74"/>
      <c r="N148" s="74"/>
      <c r="O148" s="74"/>
      <c r="P148" s="74"/>
      <c r="Q148" s="74"/>
      <c r="R148" s="74"/>
      <c r="S148" s="74"/>
      <c r="T148" s="74"/>
      <c r="U148" s="38"/>
      <c r="V148" s="38"/>
      <c r="W148" s="38"/>
      <c r="X148" s="38"/>
      <c r="Y148" s="38"/>
      <c r="Z148" s="38"/>
    </row>
    <row r="149" customFormat="false" ht="12.75" hidden="false" customHeight="true" outlineLevel="0" collapsed="false">
      <c r="A149" s="43"/>
      <c r="B149" s="75"/>
      <c r="C149" s="76"/>
      <c r="D149" s="77"/>
      <c r="E149" s="78"/>
      <c r="F149" s="78"/>
      <c r="G149" s="79"/>
      <c r="H149" s="79"/>
      <c r="I149" s="79"/>
      <c r="J149" s="78"/>
      <c r="K149" s="77"/>
      <c r="L149" s="74"/>
      <c r="M149" s="74"/>
      <c r="N149" s="74"/>
      <c r="O149" s="74"/>
      <c r="P149" s="74"/>
      <c r="Q149" s="74"/>
      <c r="R149" s="74"/>
      <c r="S149" s="74"/>
      <c r="T149" s="74"/>
      <c r="U149" s="38"/>
      <c r="V149" s="38"/>
      <c r="W149" s="38"/>
      <c r="X149" s="38"/>
      <c r="Y149" s="38"/>
      <c r="Z149" s="38"/>
    </row>
    <row r="150" customFormat="false" ht="12.75" hidden="false" customHeight="true" outlineLevel="0" collapsed="false">
      <c r="A150" s="43"/>
      <c r="B150" s="75"/>
      <c r="C150" s="76"/>
      <c r="D150" s="77"/>
      <c r="E150" s="78"/>
      <c r="F150" s="78"/>
      <c r="G150" s="79"/>
      <c r="H150" s="79"/>
      <c r="I150" s="79"/>
      <c r="J150" s="78"/>
      <c r="K150" s="77"/>
      <c r="L150" s="74"/>
      <c r="M150" s="74"/>
      <c r="N150" s="74"/>
      <c r="O150" s="74"/>
      <c r="P150" s="74"/>
      <c r="Q150" s="74"/>
      <c r="R150" s="74"/>
      <c r="S150" s="74"/>
      <c r="T150" s="74"/>
      <c r="U150" s="38"/>
      <c r="V150" s="38"/>
      <c r="W150" s="38"/>
      <c r="X150" s="38"/>
      <c r="Y150" s="38"/>
      <c r="Z150" s="38"/>
    </row>
    <row r="151" customFormat="false" ht="12.75" hidden="false" customHeight="true" outlineLevel="0" collapsed="false">
      <c r="A151" s="43"/>
      <c r="B151" s="75"/>
      <c r="C151" s="76"/>
      <c r="D151" s="77"/>
      <c r="E151" s="78"/>
      <c r="F151" s="78"/>
      <c r="G151" s="79"/>
      <c r="H151" s="79"/>
      <c r="I151" s="79"/>
      <c r="J151" s="78"/>
      <c r="K151" s="77"/>
      <c r="L151" s="74"/>
      <c r="M151" s="74"/>
      <c r="N151" s="74"/>
      <c r="O151" s="74"/>
      <c r="P151" s="74"/>
      <c r="Q151" s="74"/>
      <c r="R151" s="74"/>
      <c r="S151" s="74"/>
      <c r="T151" s="74"/>
      <c r="U151" s="38"/>
      <c r="V151" s="38"/>
      <c r="W151" s="38"/>
      <c r="X151" s="38"/>
      <c r="Y151" s="38"/>
      <c r="Z151" s="38"/>
    </row>
    <row r="152" customFormat="false" ht="12.75" hidden="false" customHeight="true" outlineLevel="0" collapsed="false">
      <c r="A152" s="43"/>
      <c r="B152" s="75"/>
      <c r="C152" s="76"/>
      <c r="D152" s="77"/>
      <c r="E152" s="78"/>
      <c r="F152" s="78"/>
      <c r="G152" s="79"/>
      <c r="H152" s="79"/>
      <c r="I152" s="79"/>
      <c r="J152" s="78"/>
      <c r="K152" s="77"/>
      <c r="L152" s="74"/>
      <c r="M152" s="74"/>
      <c r="N152" s="74"/>
      <c r="O152" s="74"/>
      <c r="P152" s="74"/>
      <c r="Q152" s="74"/>
      <c r="R152" s="74"/>
      <c r="S152" s="74"/>
      <c r="T152" s="74"/>
      <c r="U152" s="38"/>
      <c r="V152" s="38"/>
      <c r="W152" s="38"/>
      <c r="X152" s="38"/>
      <c r="Y152" s="38"/>
      <c r="Z152" s="38"/>
    </row>
    <row r="153" customFormat="false" ht="12.75" hidden="false" customHeight="true" outlineLevel="0" collapsed="false">
      <c r="A153" s="43"/>
      <c r="B153" s="75"/>
      <c r="C153" s="76"/>
      <c r="D153" s="77"/>
      <c r="E153" s="78"/>
      <c r="F153" s="78"/>
      <c r="G153" s="79"/>
      <c r="H153" s="79"/>
      <c r="I153" s="79"/>
      <c r="J153" s="78"/>
      <c r="K153" s="77"/>
      <c r="L153" s="74"/>
      <c r="M153" s="74"/>
      <c r="N153" s="74"/>
      <c r="O153" s="74"/>
      <c r="P153" s="74"/>
      <c r="Q153" s="74"/>
      <c r="R153" s="74"/>
      <c r="S153" s="74"/>
      <c r="T153" s="74"/>
      <c r="U153" s="38"/>
      <c r="V153" s="38"/>
      <c r="W153" s="38"/>
      <c r="X153" s="38"/>
      <c r="Y153" s="38"/>
      <c r="Z153" s="38"/>
    </row>
    <row r="154" customFormat="false" ht="12.75" hidden="false" customHeight="true" outlineLevel="0" collapsed="false">
      <c r="A154" s="43"/>
      <c r="B154" s="75"/>
      <c r="C154" s="76"/>
      <c r="D154" s="77"/>
      <c r="E154" s="78"/>
      <c r="F154" s="78"/>
      <c r="G154" s="79"/>
      <c r="H154" s="79"/>
      <c r="I154" s="79"/>
      <c r="J154" s="78"/>
      <c r="K154" s="77"/>
      <c r="L154" s="74"/>
      <c r="M154" s="74"/>
      <c r="N154" s="74"/>
      <c r="O154" s="74"/>
      <c r="P154" s="74"/>
      <c r="Q154" s="74"/>
      <c r="R154" s="74"/>
      <c r="S154" s="74"/>
      <c r="T154" s="74"/>
      <c r="U154" s="38"/>
      <c r="V154" s="38"/>
      <c r="W154" s="38"/>
      <c r="X154" s="38"/>
      <c r="Y154" s="38"/>
      <c r="Z154" s="38"/>
    </row>
    <row r="155" customFormat="false" ht="12.75" hidden="false" customHeight="true" outlineLevel="0" collapsed="false">
      <c r="A155" s="43"/>
      <c r="B155" s="75"/>
      <c r="C155" s="76"/>
      <c r="D155" s="77"/>
      <c r="E155" s="78"/>
      <c r="F155" s="78"/>
      <c r="G155" s="79"/>
      <c r="H155" s="79"/>
      <c r="I155" s="79"/>
      <c r="J155" s="78"/>
      <c r="K155" s="77"/>
      <c r="L155" s="74"/>
      <c r="M155" s="74"/>
      <c r="N155" s="74"/>
      <c r="O155" s="74"/>
      <c r="P155" s="74"/>
      <c r="Q155" s="74"/>
      <c r="R155" s="74"/>
      <c r="S155" s="74"/>
      <c r="T155" s="74"/>
      <c r="U155" s="38"/>
      <c r="V155" s="38"/>
      <c r="W155" s="38"/>
      <c r="X155" s="38"/>
      <c r="Y155" s="38"/>
      <c r="Z155" s="38"/>
    </row>
    <row r="156" customFormat="false" ht="12.75" hidden="false" customHeight="true" outlineLevel="0" collapsed="false">
      <c r="A156" s="43"/>
      <c r="B156" s="75"/>
      <c r="C156" s="76"/>
      <c r="D156" s="77"/>
      <c r="E156" s="78"/>
      <c r="F156" s="78"/>
      <c r="G156" s="79"/>
      <c r="H156" s="79"/>
      <c r="I156" s="79"/>
      <c r="J156" s="78"/>
      <c r="K156" s="77"/>
      <c r="L156" s="74"/>
      <c r="M156" s="74"/>
      <c r="N156" s="74"/>
      <c r="O156" s="74"/>
      <c r="P156" s="74"/>
      <c r="Q156" s="74"/>
      <c r="R156" s="74"/>
      <c r="S156" s="74"/>
      <c r="T156" s="74"/>
      <c r="U156" s="38"/>
      <c r="V156" s="38"/>
      <c r="W156" s="38"/>
      <c r="X156" s="38"/>
      <c r="Y156" s="38"/>
      <c r="Z156" s="38"/>
    </row>
    <row r="157" customFormat="false" ht="12.75" hidden="false" customHeight="true" outlineLevel="0" collapsed="false">
      <c r="A157" s="43"/>
      <c r="B157" s="75"/>
      <c r="C157" s="76"/>
      <c r="D157" s="77"/>
      <c r="E157" s="78"/>
      <c r="F157" s="78"/>
      <c r="G157" s="79"/>
      <c r="H157" s="79"/>
      <c r="I157" s="79"/>
      <c r="J157" s="78"/>
      <c r="K157" s="77"/>
      <c r="L157" s="74"/>
      <c r="M157" s="74"/>
      <c r="N157" s="74"/>
      <c r="O157" s="74"/>
      <c r="P157" s="74"/>
      <c r="Q157" s="74"/>
      <c r="R157" s="74"/>
      <c r="S157" s="74"/>
      <c r="T157" s="74"/>
      <c r="U157" s="38"/>
      <c r="V157" s="38"/>
      <c r="W157" s="38"/>
      <c r="X157" s="38"/>
      <c r="Y157" s="38"/>
      <c r="Z157" s="38"/>
    </row>
    <row r="158" customFormat="false" ht="12.75" hidden="false" customHeight="true" outlineLevel="0" collapsed="false">
      <c r="A158" s="43"/>
      <c r="B158" s="75"/>
      <c r="C158" s="76"/>
      <c r="D158" s="77"/>
      <c r="E158" s="78"/>
      <c r="F158" s="78"/>
      <c r="G158" s="79"/>
      <c r="H158" s="79"/>
      <c r="I158" s="79"/>
      <c r="J158" s="78"/>
      <c r="K158" s="77"/>
      <c r="L158" s="74"/>
      <c r="M158" s="74"/>
      <c r="N158" s="74"/>
      <c r="O158" s="74"/>
      <c r="P158" s="74"/>
      <c r="Q158" s="74"/>
      <c r="R158" s="74"/>
      <c r="S158" s="74"/>
      <c r="T158" s="74"/>
      <c r="U158" s="38"/>
      <c r="V158" s="38"/>
      <c r="W158" s="38"/>
      <c r="X158" s="38"/>
      <c r="Y158" s="38"/>
      <c r="Z158" s="38"/>
    </row>
    <row r="159" customFormat="false" ht="12.75" hidden="false" customHeight="true" outlineLevel="0" collapsed="false">
      <c r="A159" s="43"/>
      <c r="B159" s="75"/>
      <c r="C159" s="74"/>
      <c r="D159" s="77"/>
      <c r="E159" s="78"/>
      <c r="F159" s="78"/>
      <c r="G159" s="79"/>
      <c r="H159" s="79"/>
      <c r="I159" s="79"/>
      <c r="J159" s="78"/>
      <c r="K159" s="77"/>
      <c r="L159" s="74"/>
      <c r="M159" s="74"/>
      <c r="N159" s="74"/>
      <c r="O159" s="74"/>
      <c r="P159" s="74"/>
      <c r="Q159" s="74"/>
      <c r="R159" s="74"/>
      <c r="S159" s="74"/>
      <c r="T159" s="74"/>
      <c r="U159" s="38"/>
      <c r="V159" s="38"/>
      <c r="W159" s="38"/>
      <c r="X159" s="38"/>
      <c r="Y159" s="38"/>
      <c r="Z159" s="38"/>
    </row>
    <row r="160" customFormat="false" ht="12.75" hidden="false" customHeight="true" outlineLevel="0" collapsed="false">
      <c r="A160" s="43"/>
      <c r="B160" s="75"/>
      <c r="C160" s="76"/>
      <c r="D160" s="77"/>
      <c r="E160" s="78"/>
      <c r="F160" s="78"/>
      <c r="G160" s="79"/>
      <c r="H160" s="79"/>
      <c r="I160" s="79"/>
      <c r="J160" s="78"/>
      <c r="K160" s="77"/>
      <c r="L160" s="74"/>
      <c r="M160" s="74"/>
      <c r="N160" s="74"/>
      <c r="O160" s="74"/>
      <c r="P160" s="74"/>
      <c r="Q160" s="74"/>
      <c r="R160" s="74"/>
      <c r="S160" s="74"/>
      <c r="T160" s="74"/>
      <c r="U160" s="38"/>
      <c r="V160" s="38"/>
      <c r="W160" s="38"/>
      <c r="X160" s="38"/>
      <c r="Y160" s="38"/>
      <c r="Z160" s="38"/>
    </row>
    <row r="161" customFormat="false" ht="12.75" hidden="false" customHeight="true" outlineLevel="0" collapsed="false">
      <c r="A161" s="43"/>
      <c r="B161" s="75"/>
      <c r="C161" s="76"/>
      <c r="D161" s="77"/>
      <c r="E161" s="78"/>
      <c r="F161" s="78"/>
      <c r="G161" s="79"/>
      <c r="H161" s="79"/>
      <c r="I161" s="79"/>
      <c r="J161" s="78"/>
      <c r="K161" s="77"/>
      <c r="L161" s="74"/>
      <c r="M161" s="74"/>
      <c r="N161" s="74"/>
      <c r="O161" s="74"/>
      <c r="P161" s="74"/>
      <c r="Q161" s="74"/>
      <c r="R161" s="74"/>
      <c r="S161" s="74"/>
      <c r="T161" s="74"/>
      <c r="U161" s="38"/>
      <c r="V161" s="38"/>
      <c r="W161" s="38"/>
      <c r="X161" s="38"/>
      <c r="Y161" s="38"/>
      <c r="Z161" s="38"/>
    </row>
    <row r="162" customFormat="false" ht="12.75" hidden="false" customHeight="true" outlineLevel="0" collapsed="false">
      <c r="A162" s="43"/>
      <c r="B162" s="75"/>
      <c r="C162" s="76"/>
      <c r="D162" s="77"/>
      <c r="E162" s="78"/>
      <c r="F162" s="78"/>
      <c r="G162" s="79"/>
      <c r="H162" s="79"/>
      <c r="I162" s="79"/>
      <c r="J162" s="78"/>
      <c r="K162" s="77"/>
      <c r="L162" s="74"/>
      <c r="M162" s="74"/>
      <c r="N162" s="74"/>
      <c r="O162" s="74"/>
      <c r="P162" s="74"/>
      <c r="Q162" s="74"/>
      <c r="R162" s="74"/>
      <c r="S162" s="74"/>
      <c r="T162" s="74"/>
      <c r="U162" s="38"/>
      <c r="V162" s="38"/>
      <c r="W162" s="38"/>
      <c r="X162" s="38"/>
      <c r="Y162" s="38"/>
      <c r="Z162" s="38"/>
    </row>
    <row r="163" customFormat="false" ht="12.75" hidden="false" customHeight="true" outlineLevel="0" collapsed="false">
      <c r="A163" s="43"/>
      <c r="B163" s="75"/>
      <c r="C163" s="76"/>
      <c r="D163" s="77"/>
      <c r="E163" s="78"/>
      <c r="F163" s="78"/>
      <c r="G163" s="79"/>
      <c r="H163" s="79"/>
      <c r="I163" s="79"/>
      <c r="J163" s="78"/>
      <c r="K163" s="77"/>
      <c r="L163" s="74"/>
      <c r="M163" s="74"/>
      <c r="N163" s="74"/>
      <c r="O163" s="74"/>
      <c r="P163" s="74"/>
      <c r="Q163" s="74"/>
      <c r="R163" s="74"/>
      <c r="S163" s="74"/>
      <c r="T163" s="74"/>
      <c r="U163" s="38"/>
      <c r="V163" s="38"/>
      <c r="W163" s="38"/>
      <c r="X163" s="38"/>
      <c r="Y163" s="38"/>
      <c r="Z163" s="38"/>
    </row>
    <row r="164" customFormat="false" ht="12.75" hidden="false" customHeight="true" outlineLevel="0" collapsed="false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customFormat="false" ht="12.75" hidden="false" customHeight="true" outlineLevel="0" collapsed="false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customFormat="false" ht="12.75" hidden="false" customHeight="true" outlineLevel="0" collapsed="false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customFormat="false" ht="12.75" hidden="false" customHeight="true" outlineLevel="0" collapsed="false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customFormat="false" ht="12.75" hidden="false" customHeight="true" outlineLevel="0" collapsed="false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customFormat="false" ht="12.75" hidden="false" customHeight="true" outlineLevel="0" collapsed="false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customFormat="false" ht="12.75" hidden="false" customHeight="true" outlineLevel="0" collapsed="false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customFormat="false" ht="12.75" hidden="false" customHeight="true" outlineLevel="0" collapsed="false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customFormat="false" ht="12.75" hidden="false" customHeight="true" outlineLevel="0" collapsed="false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customFormat="false" ht="12.75" hidden="false" customHeight="true" outlineLevel="0" collapsed="false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customFormat="false" ht="12.75" hidden="false" customHeight="true" outlineLevel="0" collapsed="false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customFormat="false" ht="12.75" hidden="false" customHeight="true" outlineLevel="0" collapsed="false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customFormat="false" ht="12.75" hidden="false" customHeight="true" outlineLevel="0" collapsed="false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customFormat="false" ht="12.75" hidden="false" customHeight="true" outlineLevel="0" collapsed="false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customFormat="false" ht="12.75" hidden="false" customHeight="true" outlineLevel="0" collapsed="false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customFormat="false" ht="12.75" hidden="false" customHeight="true" outlineLevel="0" collapsed="false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customFormat="false" ht="12.75" hidden="false" customHeight="true" outlineLevel="0" collapsed="false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customFormat="false" ht="12.75" hidden="false" customHeight="true" outlineLevel="0" collapsed="false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customFormat="false" ht="12.75" hidden="false" customHeight="true" outlineLevel="0" collapsed="false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customFormat="false" ht="12.75" hidden="false" customHeight="true" outlineLevel="0" collapsed="false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customFormat="false" ht="12.75" hidden="false" customHeight="true" outlineLevel="0" collapsed="false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customFormat="false" ht="12.75" hidden="false" customHeight="true" outlineLevel="0" collapsed="false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customFormat="false" ht="12.75" hidden="false" customHeight="true" outlineLevel="0" collapsed="false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customFormat="false" ht="12.75" hidden="false" customHeight="true" outlineLevel="0" collapsed="false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customFormat="false" ht="12.75" hidden="false" customHeight="true" outlineLevel="0" collapsed="false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customFormat="false" ht="12.75" hidden="false" customHeight="true" outlineLevel="0" collapsed="false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customFormat="false" ht="12.75" hidden="false" customHeight="true" outlineLevel="0" collapsed="false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customFormat="false" ht="12.75" hidden="false" customHeight="true" outlineLevel="0" collapsed="false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customFormat="false" ht="12.75" hidden="false" customHeight="true" outlineLevel="0" collapsed="false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customFormat="false" ht="12.75" hidden="false" customHeight="true" outlineLevel="0" collapsed="false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customFormat="false" ht="12.75" hidden="false" customHeight="true" outlineLevel="0" collapsed="false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customFormat="false" ht="12.75" hidden="false" customHeight="true" outlineLevel="0" collapsed="false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customFormat="false" ht="12.75" hidden="false" customHeight="true" outlineLevel="0" collapsed="false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customFormat="false" ht="12.75" hidden="false" customHeight="true" outlineLevel="0" collapsed="false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customFormat="false" ht="12.75" hidden="false" customHeight="true" outlineLevel="0" collapsed="false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customFormat="false" ht="12.75" hidden="false" customHeight="true" outlineLevel="0" collapsed="false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customFormat="false" ht="12.75" hidden="false" customHeight="true" outlineLevel="0" collapsed="false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customFormat="false" ht="12.75" hidden="false" customHeight="true" outlineLevel="0" collapsed="false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customFormat="false" ht="12.75" hidden="false" customHeight="true" outlineLevel="0" collapsed="false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customFormat="false" ht="12.75" hidden="false" customHeight="true" outlineLevel="0" collapsed="false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customFormat="false" ht="12.75" hidden="false" customHeight="true" outlineLevel="0" collapsed="false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customFormat="false" ht="12.75" hidden="false" customHeight="true" outlineLevel="0" collapsed="false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customFormat="false" ht="12.75" hidden="false" customHeight="true" outlineLevel="0" collapsed="false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customFormat="false" ht="12.75" hidden="false" customHeight="true" outlineLevel="0" collapsed="false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customFormat="false" ht="12.75" hidden="false" customHeight="true" outlineLevel="0" collapsed="false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customFormat="false" ht="12.75" hidden="false" customHeight="true" outlineLevel="0" collapsed="false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customFormat="false" ht="12.75" hidden="false" customHeight="true" outlineLevel="0" collapsed="false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customFormat="false" ht="12.75" hidden="false" customHeight="true" outlineLevel="0" collapsed="false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customFormat="false" ht="12.75" hidden="false" customHeight="true" outlineLevel="0" collapsed="false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customFormat="false" ht="12.75" hidden="false" customHeight="true" outlineLevel="0" collapsed="false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customFormat="false" ht="12.75" hidden="false" customHeight="true" outlineLevel="0" collapsed="false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customFormat="false" ht="12.75" hidden="false" customHeight="true" outlineLevel="0" collapsed="false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customFormat="false" ht="12.75" hidden="false" customHeight="true" outlineLevel="0" collapsed="false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customFormat="false" ht="12.75" hidden="false" customHeight="true" outlineLevel="0" collapsed="false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customFormat="false" ht="12.75" hidden="false" customHeight="true" outlineLevel="0" collapsed="false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customFormat="false" ht="12.75" hidden="false" customHeight="true" outlineLevel="0" collapsed="false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customFormat="false" ht="12.75" hidden="false" customHeight="true" outlineLevel="0" collapsed="false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customFormat="false" ht="12.75" hidden="false" customHeight="true" outlineLevel="0" collapsed="false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customFormat="false" ht="12.75" hidden="false" customHeight="true" outlineLevel="0" collapsed="false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customFormat="false" ht="12.75" hidden="false" customHeight="true" outlineLevel="0" collapsed="false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customFormat="false" ht="12.75" hidden="false" customHeight="true" outlineLevel="0" collapsed="false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customFormat="false" ht="12.75" hidden="false" customHeight="true" outlineLevel="0" collapsed="false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customFormat="false" ht="12.75" hidden="false" customHeight="true" outlineLevel="0" collapsed="false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customFormat="false" ht="12.75" hidden="false" customHeight="true" outlineLevel="0" collapsed="false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customFormat="false" ht="12.75" hidden="false" customHeight="true" outlineLevel="0" collapsed="false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customFormat="false" ht="12.75" hidden="false" customHeight="true" outlineLevel="0" collapsed="false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customFormat="false" ht="12.75" hidden="false" customHeight="true" outlineLevel="0" collapsed="false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customFormat="false" ht="12.75" hidden="false" customHeight="true" outlineLevel="0" collapsed="false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customFormat="false" ht="12.75" hidden="false" customHeight="true" outlineLevel="0" collapsed="false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customFormat="false" ht="12.75" hidden="false" customHeight="true" outlineLevel="0" collapsed="false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customFormat="false" ht="12.75" hidden="false" customHeight="true" outlineLevel="0" collapsed="false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customFormat="false" ht="12.75" hidden="false" customHeight="true" outlineLevel="0" collapsed="false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customFormat="false" ht="12.75" hidden="false" customHeight="true" outlineLevel="0" collapsed="false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customFormat="false" ht="12.75" hidden="false" customHeight="true" outlineLevel="0" collapsed="false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customFormat="false" ht="12.75" hidden="false" customHeight="true" outlineLevel="0" collapsed="false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customFormat="false" ht="12.75" hidden="false" customHeight="true" outlineLevel="0" collapsed="false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customFormat="false" ht="12.75" hidden="false" customHeight="true" outlineLevel="0" collapsed="false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customFormat="false" ht="12.75" hidden="false" customHeight="true" outlineLevel="0" collapsed="false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customFormat="false" ht="12.75" hidden="false" customHeight="true" outlineLevel="0" collapsed="false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customFormat="false" ht="12.75" hidden="false" customHeight="true" outlineLevel="0" collapsed="false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customFormat="false" ht="12.75" hidden="false" customHeight="true" outlineLevel="0" collapsed="false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customFormat="false" ht="12.75" hidden="false" customHeight="true" outlineLevel="0" collapsed="false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customFormat="false" ht="12.75" hidden="false" customHeight="true" outlineLevel="0" collapsed="false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customFormat="false" ht="12.75" hidden="false" customHeight="true" outlineLevel="0" collapsed="false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customFormat="false" ht="12.75" hidden="false" customHeight="true" outlineLevel="0" collapsed="false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customFormat="false" ht="12.75" hidden="false" customHeight="true" outlineLevel="0" collapsed="false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customFormat="false" ht="12.75" hidden="false" customHeight="true" outlineLevel="0" collapsed="false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customFormat="false" ht="12.75" hidden="false" customHeight="true" outlineLevel="0" collapsed="false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customFormat="false" ht="12.75" hidden="false" customHeight="true" outlineLevel="0" collapsed="false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customFormat="false" ht="12.75" hidden="false" customHeight="true" outlineLevel="0" collapsed="false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customFormat="false" ht="12.75" hidden="false" customHeight="true" outlineLevel="0" collapsed="false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customFormat="false" ht="12.75" hidden="false" customHeight="true" outlineLevel="0" collapsed="false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customFormat="false" ht="12.75" hidden="false" customHeight="true" outlineLevel="0" collapsed="false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customFormat="false" ht="12.75" hidden="false" customHeight="true" outlineLevel="0" collapsed="false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customFormat="false" ht="12.75" hidden="false" customHeight="true" outlineLevel="0" collapsed="false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customFormat="false" ht="12.75" hidden="false" customHeight="true" outlineLevel="0" collapsed="false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customFormat="false" ht="12.75" hidden="false" customHeight="true" outlineLevel="0" collapsed="false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customFormat="false" ht="12.75" hidden="false" customHeight="true" outlineLevel="0" collapsed="false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15">
    <mergeCell ref="C2:D2"/>
    <mergeCell ref="B4:C4"/>
    <mergeCell ref="D4:F4"/>
    <mergeCell ref="B5:C5"/>
    <mergeCell ref="D5:F5"/>
    <mergeCell ref="B6:C6"/>
    <mergeCell ref="D6:F6"/>
    <mergeCell ref="B7:C7"/>
    <mergeCell ref="D7:F7"/>
    <mergeCell ref="B8:C8"/>
    <mergeCell ref="D8:F8"/>
    <mergeCell ref="B9:C9"/>
    <mergeCell ref="D9:F9"/>
    <mergeCell ref="G12:K12"/>
    <mergeCell ref="L12:L13"/>
  </mergeCells>
  <conditionalFormatting sqref="L14:L61">
    <cfRule type="expression" priority="2" aboveAverage="0" equalAverage="0" bottom="0" percent="0" rank="0" text="" dxfId="0">
      <formula>$L14="Aprobado"</formula>
    </cfRule>
    <cfRule type="expression" priority="3" aboveAverage="0" equalAverage="0" bottom="0" percent="0" rank="0" text="" dxfId="1">
      <formula>$L14="Fallido"</formula>
    </cfRule>
    <cfRule type="expression" priority="4" aboveAverage="0" equalAverage="0" bottom="0" percent="0" rank="0" text="" dxfId="2">
      <formula>$L14="Bloqueado"</formula>
    </cfRule>
    <cfRule type="expression" priority="5" aboveAverage="0" equalAverage="0" bottom="0" percent="0" rank="0" text="" dxfId="3">
      <formula>$L14="En ejecución"</formula>
    </cfRule>
    <cfRule type="expression" priority="6" aboveAverage="0" equalAverage="0" bottom="0" percent="0" rank="0" text="" dxfId="4">
      <formula>$L14="No aplica"</formula>
    </cfRule>
  </conditionalFormatting>
  <dataValidations count="2">
    <dataValidation allowBlank="true" errorStyle="stop" operator="between" showDropDown="false" showErrorMessage="false" showInputMessage="false" sqref="G14:I61" type="list">
      <formula1>"x"</formula1>
      <formula2>0</formula2>
    </dataValidation>
    <dataValidation allowBlank="true" errorStyle="stop" operator="between" prompt="Estado no válido - Elige un estado de la lista." showDropDown="false" showErrorMessage="true" showInputMessage="true" sqref="L14:L61" type="list">
      <formula1>"Pendiente,En ejecución,Aprobado,Fallido,Bloqueado,No aplica"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9.13"/>
    <col collapsed="false" customWidth="true" hidden="false" outlineLevel="0" max="2" min="2" style="1" width="45"/>
    <col collapsed="false" customWidth="true" hidden="false" outlineLevel="0" max="3" min="3" style="1" width="12"/>
    <col collapsed="false" customWidth="true" hidden="false" outlineLevel="0" max="4" min="4" style="1" width="55"/>
  </cols>
  <sheetData>
    <row r="1" customFormat="false" ht="30" hidden="false" customHeight="true" outlineLevel="0" collapsed="false">
      <c r="A1" s="81"/>
      <c r="B1" s="82" t="s">
        <v>445</v>
      </c>
      <c r="C1" s="82"/>
      <c r="D1" s="82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</row>
    <row r="2" customFormat="false" ht="12.75" hidden="false" customHeight="true" outlineLevel="0" collapsed="false">
      <c r="A2" s="81"/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</row>
    <row r="3" customFormat="false" ht="12.75" hidden="false" customHeight="true" outlineLevel="0" collapsed="false">
      <c r="A3" s="81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</row>
    <row r="4" customFormat="false" ht="12.75" hidden="false" customHeight="true" outlineLevel="0" collapsed="false">
      <c r="A4" s="81"/>
      <c r="B4" s="81" t="s">
        <v>446</v>
      </c>
      <c r="C4" s="81" t="n">
        <f aca="false">COUNTIF('Pruebas Estandar '!D7:D77,"OK")</f>
        <v>49</v>
      </c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</row>
    <row r="5" customFormat="false" ht="12.75" hidden="false" customHeight="true" outlineLevel="0" collapsed="false">
      <c r="A5" s="81"/>
      <c r="B5" s="81" t="s">
        <v>447</v>
      </c>
      <c r="C5" s="81" t="n">
        <f aca="false">COUNTIF('Pruebas Estandar '!D7:D77,"NC")</f>
        <v>2</v>
      </c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</row>
    <row r="6" customFormat="false" ht="12.75" hidden="false" customHeight="true" outlineLevel="0" collapsed="false">
      <c r="A6" s="81"/>
      <c r="B6" s="81" t="s">
        <v>448</v>
      </c>
      <c r="C6" s="81" t="n">
        <f aca="false">COUNTIF('Pruebas Estandar '!D7:D77,"NA")</f>
        <v>0</v>
      </c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</row>
    <row r="7" customFormat="false" ht="12.75" hidden="false" customHeight="true" outlineLevel="0" collapsed="false">
      <c r="A7" s="81"/>
      <c r="B7" s="81" t="s">
        <v>449</v>
      </c>
      <c r="C7" s="81" t="n">
        <f aca="false">61-SUM(C4:C6)-C8</f>
        <v>5</v>
      </c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</row>
    <row r="8" customFormat="false" ht="12.75" hidden="false" customHeight="true" outlineLevel="0" collapsed="false">
      <c r="A8" s="81"/>
      <c r="B8" s="81" t="s">
        <v>450</v>
      </c>
      <c r="C8" s="81" t="n">
        <f aca="false">COUNTIF('Pruebas Estandar '!D7:D77,"BL")</f>
        <v>5</v>
      </c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</row>
    <row r="9" customFormat="false" ht="12.75" hidden="false" customHeight="true" outlineLevel="0" collapsed="false">
      <c r="A9" s="81"/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</row>
    <row r="10" customFormat="false" ht="12.75" hidden="false" customHeight="true" outlineLevel="0" collapsed="false">
      <c r="A10" s="81"/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</row>
    <row r="11" customFormat="false" ht="12.75" hidden="false" customHeight="true" outlineLevel="0" collapsed="false">
      <c r="A11" s="81"/>
      <c r="B11" s="81" t="s">
        <v>451</v>
      </c>
      <c r="C11" s="81" t="n">
        <f aca="false">COUNTA('Casos de Prueba'!A14:A61)</f>
        <v>48</v>
      </c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</row>
    <row r="12" customFormat="false" ht="12.75" hidden="false" customHeight="true" outlineLevel="0" collapsed="false">
      <c r="A12" s="81"/>
      <c r="B12" s="81" t="s">
        <v>452</v>
      </c>
      <c r="C12" s="81" t="n">
        <f aca="false">COUNTIF('Casos de Prueba'!G14:G61,"x")</f>
        <v>36</v>
      </c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</row>
    <row r="13" customFormat="false" ht="12.75" hidden="false" customHeight="true" outlineLevel="0" collapsed="false">
      <c r="A13" s="81"/>
      <c r="B13" s="81" t="s">
        <v>453</v>
      </c>
      <c r="C13" s="81" t="n">
        <f aca="false">COUNTIF('Casos de Prueba'!H14:H61,"x")</f>
        <v>2</v>
      </c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</row>
    <row r="14" customFormat="false" ht="12.75" hidden="false" customHeight="true" outlineLevel="0" collapsed="false">
      <c r="A14" s="81"/>
      <c r="B14" s="81" t="s">
        <v>454</v>
      </c>
      <c r="C14" s="81" t="n">
        <f aca="false">COUNTIF('Casos de Prueba'!I14:I61,"x")</f>
        <v>0</v>
      </c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</row>
    <row r="15" customFormat="false" ht="12.75" hidden="false" customHeight="true" outlineLevel="0" collapsed="false">
      <c r="A15" s="81"/>
      <c r="B15" s="81" t="s">
        <v>455</v>
      </c>
      <c r="C15" s="81" t="n">
        <f aca="false">C11-SUM(C12:C14)</f>
        <v>10</v>
      </c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</row>
    <row r="16" customFormat="false" ht="12.75" hidden="false" customHeight="true" outlineLevel="0" collapsed="false">
      <c r="A16" s="81"/>
      <c r="B16" s="81" t="s">
        <v>456</v>
      </c>
      <c r="C16" s="81" t="n">
        <f aca="false">COUNTIF('Casos de Prueba'!L14:L61,"Bloqueado")</f>
        <v>3</v>
      </c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</row>
    <row r="17" customFormat="false" ht="12.75" hidden="false" customHeight="true" outlineLevel="0" collapsed="false">
      <c r="A17" s="81"/>
      <c r="B17" s="81" t="s">
        <v>457</v>
      </c>
      <c r="C17" s="81" t="n">
        <v>110</v>
      </c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 customFormat="false" ht="12.75" hidden="false" customHeight="true" outlineLevel="0" collapsed="false">
      <c r="A18" s="81"/>
      <c r="B18" s="81" t="s">
        <v>458</v>
      </c>
      <c r="C18" s="81"/>
      <c r="D18" s="81" t="s">
        <v>459</v>
      </c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</row>
    <row r="19" customFormat="false" ht="12.75" hidden="false" customHeight="true" outlineLevel="0" collapsed="false">
      <c r="A19" s="81"/>
      <c r="B19" s="81"/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</row>
    <row r="20" customFormat="false" ht="42" hidden="false" customHeight="true" outlineLevel="0" collapsed="false">
      <c r="A20" s="81"/>
      <c r="B20" s="83" t="s">
        <v>460</v>
      </c>
      <c r="C20" s="83"/>
      <c r="D20" s="83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 customFormat="false" ht="12.75" hidden="false" customHeight="true" outlineLevel="0" collapsed="false">
      <c r="A21" s="81"/>
      <c r="B21" s="81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</row>
    <row r="22" customFormat="false" ht="42" hidden="false" customHeight="true" outlineLevel="0" collapsed="false">
      <c r="A22" s="81"/>
      <c r="B22" s="83" t="s">
        <v>461</v>
      </c>
      <c r="C22" s="83"/>
      <c r="D22" s="83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</row>
    <row r="23" customFormat="false" ht="42" hidden="false" customHeight="true" outlineLevel="0" collapsed="false">
      <c r="A23" s="81"/>
      <c r="B23" s="83" t="s">
        <v>462</v>
      </c>
      <c r="C23" s="83"/>
      <c r="D23" s="83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</row>
    <row r="24" customFormat="false" ht="42" hidden="false" customHeight="true" outlineLevel="0" collapsed="false">
      <c r="A24" s="81"/>
      <c r="B24" s="83" t="s">
        <v>463</v>
      </c>
      <c r="C24" s="83"/>
      <c r="D24" s="83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</row>
    <row r="25" customFormat="false" ht="42" hidden="false" customHeight="true" outlineLevel="0" collapsed="false">
      <c r="A25" s="81"/>
      <c r="B25" s="83" t="s">
        <v>464</v>
      </c>
      <c r="C25" s="83"/>
      <c r="D25" s="83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</row>
    <row r="26" customFormat="false" ht="42" hidden="false" customHeight="true" outlineLevel="0" collapsed="false">
      <c r="A26" s="81"/>
      <c r="B26" s="83" t="s">
        <v>465</v>
      </c>
      <c r="C26" s="83"/>
      <c r="D26" s="83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</row>
    <row r="27" customFormat="false" ht="42" hidden="false" customHeight="true" outlineLevel="0" collapsed="false">
      <c r="A27" s="81"/>
      <c r="B27" s="83" t="s">
        <v>466</v>
      </c>
      <c r="C27" s="83"/>
      <c r="D27" s="83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</row>
    <row r="28" customFormat="false" ht="42" hidden="false" customHeight="true" outlineLevel="0" collapsed="false">
      <c r="A28" s="81"/>
      <c r="B28" s="83" t="s">
        <v>467</v>
      </c>
      <c r="C28" s="83"/>
      <c r="D28" s="83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</row>
    <row r="29" customFormat="false" ht="42" hidden="false" customHeight="true" outlineLevel="0" collapsed="false">
      <c r="A29" s="81"/>
      <c r="B29" s="83" t="s">
        <v>468</v>
      </c>
      <c r="C29" s="83"/>
      <c r="D29" s="83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</row>
    <row r="30" customFormat="false" ht="12.75" hidden="false" customHeight="true" outlineLevel="0" collapsed="false">
      <c r="A30" s="81"/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</row>
    <row r="31" customFormat="false" ht="12.75" hidden="false" customHeight="true" outlineLevel="0" collapsed="false">
      <c r="A31" s="81"/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</row>
    <row r="32" customFormat="false" ht="12.75" hidden="false" customHeight="true" outlineLevel="0" collapsed="false">
      <c r="A32" s="81"/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</row>
    <row r="33" customFormat="false" ht="12.75" hidden="false" customHeight="true" outlineLevel="0" collapsed="false">
      <c r="A33" s="81"/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</row>
    <row r="34" customFormat="false" ht="12.75" hidden="false" customHeight="true" outlineLevel="0" collapsed="false">
      <c r="A34" s="81"/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</row>
    <row r="35" customFormat="false" ht="12.75" hidden="false" customHeight="true" outlineLevel="0" collapsed="false">
      <c r="A35" s="81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</row>
    <row r="36" customFormat="false" ht="12.75" hidden="false" customHeight="true" outlineLevel="0" collapsed="false">
      <c r="A36" s="81"/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</row>
    <row r="37" customFormat="false" ht="12.75" hidden="false" customHeight="true" outlineLevel="0" collapsed="false">
      <c r="A37" s="81"/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</row>
    <row r="38" customFormat="false" ht="12.75" hidden="false" customHeight="true" outlineLevel="0" collapsed="false">
      <c r="A38" s="81"/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</row>
    <row r="39" customFormat="false" ht="12.75" hidden="false" customHeight="true" outlineLevel="0" collapsed="false">
      <c r="A39" s="81"/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</row>
    <row r="40" customFormat="false" ht="12.75" hidden="false" customHeight="true" outlineLevel="0" collapsed="false">
      <c r="A40" s="81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</row>
    <row r="41" customFormat="false" ht="12.75" hidden="false" customHeight="true" outlineLevel="0" collapsed="false">
      <c r="A41" s="81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</row>
    <row r="42" customFormat="false" ht="12.75" hidden="false" customHeight="true" outlineLevel="0" collapsed="false">
      <c r="A42" s="81"/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</row>
    <row r="43" customFormat="false" ht="12.75" hidden="false" customHeight="true" outlineLevel="0" collapsed="false">
      <c r="A43" s="81"/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</row>
    <row r="44" customFormat="false" ht="12.75" hidden="false" customHeight="true" outlineLevel="0" collapsed="false">
      <c r="A44" s="81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</row>
    <row r="45" customFormat="false" ht="12.75" hidden="false" customHeight="true" outlineLevel="0" collapsed="false">
      <c r="A45" s="81"/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</row>
    <row r="46" customFormat="false" ht="12.75" hidden="false" customHeight="true" outlineLevel="0" collapsed="false">
      <c r="A46" s="81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</row>
    <row r="47" customFormat="false" ht="12.75" hidden="false" customHeight="true" outlineLevel="0" collapsed="false">
      <c r="A47" s="81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</row>
    <row r="48" customFormat="false" ht="12.75" hidden="false" customHeight="true" outlineLevel="0" collapsed="false">
      <c r="A48" s="81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</row>
    <row r="49" customFormat="false" ht="12.75" hidden="false" customHeight="true" outlineLevel="0" collapsed="false">
      <c r="A49" s="81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</row>
    <row r="50" customFormat="false" ht="12.75" hidden="false" customHeight="true" outlineLevel="0" collapsed="false">
      <c r="A50" s="81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</row>
    <row r="51" customFormat="false" ht="12.75" hidden="false" customHeight="true" outlineLevel="0" collapsed="false">
      <c r="A51" s="81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</row>
    <row r="52" customFormat="false" ht="12.75" hidden="false" customHeight="true" outlineLevel="0" collapsed="false">
      <c r="A52" s="81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</row>
    <row r="53" customFormat="false" ht="12.75" hidden="false" customHeight="true" outlineLevel="0" collapsed="false">
      <c r="A53" s="81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</row>
    <row r="54" customFormat="false" ht="12.75" hidden="false" customHeight="true" outlineLevel="0" collapsed="false">
      <c r="A54" s="81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</row>
    <row r="55" customFormat="false" ht="12.75" hidden="false" customHeight="true" outlineLevel="0" collapsed="false">
      <c r="A55" s="81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</row>
    <row r="56" customFormat="false" ht="12.75" hidden="false" customHeight="true" outlineLevel="0" collapsed="false">
      <c r="A56" s="81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</row>
    <row r="57" customFormat="false" ht="12.75" hidden="false" customHeight="true" outlineLevel="0" collapsed="false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</row>
    <row r="58" customFormat="false" ht="12.75" hidden="false" customHeight="true" outlineLevel="0" collapsed="false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</row>
    <row r="59" customFormat="false" ht="12.75" hidden="false" customHeight="true" outlineLevel="0" collapsed="false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</row>
    <row r="60" customFormat="false" ht="12.75" hidden="false" customHeight="true" outlineLevel="0" collapsed="false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</row>
    <row r="61" customFormat="false" ht="12.75" hidden="false" customHeight="true" outlineLevel="0" collapsed="false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</row>
    <row r="62" customFormat="false" ht="12.75" hidden="false" customHeight="true" outlineLevel="0" collapsed="false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</row>
    <row r="63" customFormat="false" ht="12.75" hidden="false" customHeight="true" outlineLevel="0" collapsed="false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</row>
    <row r="64" customFormat="false" ht="12.75" hidden="false" customHeight="true" outlineLevel="0" collapsed="false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</row>
    <row r="65" customFormat="false" ht="12.75" hidden="false" customHeight="true" outlineLevel="0" collapsed="false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</row>
    <row r="66" customFormat="false" ht="12.75" hidden="false" customHeight="true" outlineLevel="0" collapsed="false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</row>
    <row r="67" customFormat="false" ht="12.75" hidden="false" customHeight="true" outlineLevel="0" collapsed="false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</row>
    <row r="68" customFormat="false" ht="12.75" hidden="false" customHeight="true" outlineLevel="0" collapsed="false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</row>
    <row r="69" customFormat="false" ht="12.75" hidden="false" customHeight="true" outlineLevel="0" collapsed="false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</row>
    <row r="70" customFormat="false" ht="12.75" hidden="false" customHeight="true" outlineLevel="0" collapsed="false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</row>
    <row r="71" customFormat="false" ht="12.75" hidden="false" customHeight="true" outlineLevel="0" collapsed="false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</row>
    <row r="72" customFormat="false" ht="12.75" hidden="false" customHeight="true" outlineLevel="0" collapsed="false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</row>
    <row r="73" customFormat="false" ht="12.75" hidden="false" customHeight="true" outlineLevel="0" collapsed="false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</row>
    <row r="74" customFormat="false" ht="12.75" hidden="false" customHeight="true" outlineLevel="0" collapsed="false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</row>
    <row r="75" customFormat="false" ht="12.75" hidden="false" customHeight="true" outlineLevel="0" collapsed="false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</row>
    <row r="76" customFormat="false" ht="12.75" hidden="false" customHeight="true" outlineLevel="0" collapsed="false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</row>
    <row r="77" customFormat="false" ht="12.75" hidden="false" customHeight="true" outlineLevel="0" collapsed="false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</row>
    <row r="78" customFormat="false" ht="12.75" hidden="false" customHeight="true" outlineLevel="0" collapsed="false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</row>
    <row r="79" customFormat="false" ht="12.75" hidden="false" customHeight="true" outlineLevel="0" collapsed="false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</row>
    <row r="80" customFormat="false" ht="12.75" hidden="false" customHeight="true" outlineLevel="0" collapsed="false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</row>
    <row r="81" customFormat="false" ht="12.75" hidden="false" customHeight="true" outlineLevel="0" collapsed="false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</row>
    <row r="82" customFormat="false" ht="12.75" hidden="false" customHeight="true" outlineLevel="0" collapsed="false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</row>
    <row r="83" customFormat="false" ht="12.75" hidden="false" customHeight="true" outlineLevel="0" collapsed="false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</row>
    <row r="84" customFormat="false" ht="12.75" hidden="false" customHeight="true" outlineLevel="0" collapsed="false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</row>
    <row r="85" customFormat="false" ht="12.75" hidden="false" customHeight="true" outlineLevel="0" collapsed="false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</row>
    <row r="86" customFormat="false" ht="12.75" hidden="false" customHeight="true" outlineLevel="0" collapsed="false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</row>
    <row r="87" customFormat="false" ht="12.75" hidden="false" customHeight="true" outlineLevel="0" collapsed="false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</row>
    <row r="88" customFormat="false" ht="12.75" hidden="false" customHeight="true" outlineLevel="0" collapsed="false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</row>
    <row r="89" customFormat="false" ht="12.75" hidden="false" customHeight="true" outlineLevel="0" collapsed="false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</row>
    <row r="90" customFormat="false" ht="12.75" hidden="false" customHeight="true" outlineLevel="0" collapsed="false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</row>
    <row r="91" customFormat="false" ht="12.75" hidden="false" customHeight="true" outlineLevel="0" collapsed="false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</row>
    <row r="92" customFormat="false" ht="12.75" hidden="false" customHeight="true" outlineLevel="0" collapsed="false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</row>
    <row r="93" customFormat="false" ht="12.75" hidden="false" customHeight="true" outlineLevel="0" collapsed="false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</row>
    <row r="94" customFormat="false" ht="12.75" hidden="false" customHeight="true" outlineLevel="0" collapsed="false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</row>
    <row r="95" customFormat="false" ht="12.75" hidden="false" customHeight="true" outlineLevel="0" collapsed="false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</row>
    <row r="96" customFormat="false" ht="12.75" hidden="false" customHeight="true" outlineLevel="0" collapsed="false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</row>
    <row r="97" customFormat="false" ht="12.75" hidden="false" customHeight="true" outlineLevel="0" collapsed="false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</row>
    <row r="98" customFormat="false" ht="12.75" hidden="false" customHeight="true" outlineLevel="0" collapsed="false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</row>
    <row r="99" customFormat="false" ht="12.75" hidden="false" customHeight="true" outlineLevel="0" collapsed="false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</row>
    <row r="100" customFormat="false" ht="12.75" hidden="false" customHeight="true" outlineLevel="0" collapsed="false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</row>
    <row r="101" customFormat="false" ht="12.75" hidden="false" customHeight="true" outlineLevel="0" collapsed="false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</row>
    <row r="102" customFormat="false" ht="12.75" hidden="false" customHeight="true" outlineLevel="0" collapsed="false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</row>
    <row r="103" customFormat="false" ht="12.75" hidden="false" customHeight="true" outlineLevel="0" collapsed="false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</row>
    <row r="104" customFormat="false" ht="12.75" hidden="false" customHeight="true" outlineLevel="0" collapsed="false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</row>
    <row r="105" customFormat="false" ht="12.75" hidden="false" customHeight="true" outlineLevel="0" collapsed="false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</row>
    <row r="106" customFormat="false" ht="12.75" hidden="false" customHeight="true" outlineLevel="0" collapsed="false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</row>
    <row r="107" customFormat="false" ht="12.75" hidden="false" customHeight="true" outlineLevel="0" collapsed="false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</row>
    <row r="108" customFormat="false" ht="12.75" hidden="false" customHeight="true" outlineLevel="0" collapsed="false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</row>
    <row r="109" customFormat="false" ht="12.75" hidden="false" customHeight="true" outlineLevel="0" collapsed="false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</row>
    <row r="110" customFormat="false" ht="12.75" hidden="false" customHeight="true" outlineLevel="0" collapsed="false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</row>
    <row r="111" customFormat="false" ht="12.75" hidden="false" customHeight="true" outlineLevel="0" collapsed="false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</row>
    <row r="112" customFormat="false" ht="12.75" hidden="false" customHeight="true" outlineLevel="0" collapsed="false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</row>
    <row r="113" customFormat="false" ht="12.75" hidden="false" customHeight="true" outlineLevel="0" collapsed="false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</row>
    <row r="114" customFormat="false" ht="12.75" hidden="false" customHeight="true" outlineLevel="0" collapsed="false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</row>
    <row r="115" customFormat="false" ht="12.75" hidden="false" customHeight="true" outlineLevel="0" collapsed="false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</row>
    <row r="116" customFormat="false" ht="12.75" hidden="false" customHeight="true" outlineLevel="0" collapsed="false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</row>
    <row r="117" customFormat="false" ht="12.75" hidden="false" customHeight="true" outlineLevel="0" collapsed="false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</row>
    <row r="118" customFormat="false" ht="12.75" hidden="false" customHeight="true" outlineLevel="0" collapsed="false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</row>
    <row r="119" customFormat="false" ht="12.75" hidden="false" customHeight="true" outlineLevel="0" collapsed="false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</row>
    <row r="120" customFormat="false" ht="12.75" hidden="false" customHeight="true" outlineLevel="0" collapsed="false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</row>
    <row r="121" customFormat="false" ht="12.75" hidden="false" customHeight="true" outlineLevel="0" collapsed="false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</row>
    <row r="122" customFormat="false" ht="12.75" hidden="false" customHeight="true" outlineLevel="0" collapsed="false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</row>
    <row r="123" customFormat="false" ht="12.75" hidden="false" customHeight="true" outlineLevel="0" collapsed="false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</row>
    <row r="124" customFormat="false" ht="12.75" hidden="false" customHeight="true" outlineLevel="0" collapsed="false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</row>
    <row r="125" customFormat="false" ht="12.75" hidden="false" customHeight="true" outlineLevel="0" collapsed="false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</row>
    <row r="126" customFormat="false" ht="12.75" hidden="false" customHeight="true" outlineLevel="0" collapsed="false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</row>
    <row r="127" customFormat="false" ht="12.75" hidden="false" customHeight="true" outlineLevel="0" collapsed="false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</row>
    <row r="128" customFormat="false" ht="12.75" hidden="false" customHeight="true" outlineLevel="0" collapsed="false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</row>
    <row r="129" customFormat="false" ht="12.75" hidden="false" customHeight="true" outlineLevel="0" collapsed="false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</row>
    <row r="130" customFormat="false" ht="12.75" hidden="false" customHeight="true" outlineLevel="0" collapsed="false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</row>
    <row r="131" customFormat="false" ht="12.75" hidden="false" customHeight="true" outlineLevel="0" collapsed="false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</row>
    <row r="132" customFormat="false" ht="12.75" hidden="false" customHeight="true" outlineLevel="0" collapsed="false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</row>
    <row r="133" customFormat="false" ht="12.75" hidden="false" customHeight="true" outlineLevel="0" collapsed="false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</row>
    <row r="134" customFormat="false" ht="12.75" hidden="false" customHeight="true" outlineLevel="0" collapsed="false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</row>
    <row r="135" customFormat="false" ht="12.75" hidden="false" customHeight="true" outlineLevel="0" collapsed="false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</row>
    <row r="136" customFormat="false" ht="12.75" hidden="false" customHeight="true" outlineLevel="0" collapsed="false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</row>
    <row r="137" customFormat="false" ht="12.75" hidden="false" customHeight="true" outlineLevel="0" collapsed="false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</row>
    <row r="138" customFormat="false" ht="12.75" hidden="false" customHeight="true" outlineLevel="0" collapsed="false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</row>
    <row r="139" customFormat="false" ht="12.75" hidden="false" customHeight="true" outlineLevel="0" collapsed="false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</row>
    <row r="140" customFormat="false" ht="12.75" hidden="false" customHeight="true" outlineLevel="0" collapsed="false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</row>
    <row r="141" customFormat="false" ht="12.75" hidden="false" customHeight="true" outlineLevel="0" collapsed="false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</row>
    <row r="142" customFormat="false" ht="12.75" hidden="false" customHeight="true" outlineLevel="0" collapsed="false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</row>
    <row r="143" customFormat="false" ht="12.75" hidden="false" customHeight="true" outlineLevel="0" collapsed="false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</row>
    <row r="144" customFormat="false" ht="12.75" hidden="false" customHeight="true" outlineLevel="0" collapsed="false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</row>
    <row r="145" customFormat="false" ht="12.75" hidden="false" customHeight="true" outlineLevel="0" collapsed="false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</row>
    <row r="146" customFormat="false" ht="12.75" hidden="false" customHeight="true" outlineLevel="0" collapsed="false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</row>
    <row r="147" customFormat="false" ht="12.75" hidden="false" customHeight="true" outlineLevel="0" collapsed="false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</row>
    <row r="148" customFormat="false" ht="12.75" hidden="false" customHeight="true" outlineLevel="0" collapsed="false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</row>
    <row r="149" customFormat="false" ht="12.75" hidden="false" customHeight="true" outlineLevel="0" collapsed="false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</row>
    <row r="150" customFormat="false" ht="12.75" hidden="false" customHeight="true" outlineLevel="0" collapsed="false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</row>
    <row r="151" customFormat="false" ht="12.75" hidden="false" customHeight="true" outlineLevel="0" collapsed="false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</row>
    <row r="152" customFormat="false" ht="12.75" hidden="false" customHeight="true" outlineLevel="0" collapsed="false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</row>
    <row r="153" customFormat="false" ht="12.75" hidden="false" customHeight="true" outlineLevel="0" collapsed="false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</row>
    <row r="154" customFormat="false" ht="12.75" hidden="false" customHeight="true" outlineLevel="0" collapsed="false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</row>
    <row r="155" customFormat="false" ht="12.75" hidden="false" customHeight="true" outlineLevel="0" collapsed="false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</row>
    <row r="156" customFormat="false" ht="12.75" hidden="false" customHeight="true" outlineLevel="0" collapsed="false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</row>
    <row r="157" customFormat="false" ht="12.75" hidden="false" customHeight="true" outlineLevel="0" collapsed="false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</row>
    <row r="158" customFormat="false" ht="12.75" hidden="false" customHeight="true" outlineLevel="0" collapsed="false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</row>
    <row r="159" customFormat="false" ht="12.75" hidden="false" customHeight="true" outlineLevel="0" collapsed="false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</row>
    <row r="160" customFormat="false" ht="12.75" hidden="false" customHeight="true" outlineLevel="0" collapsed="false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</row>
    <row r="161" customFormat="false" ht="12.75" hidden="false" customHeight="true" outlineLevel="0" collapsed="false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</row>
    <row r="162" customFormat="false" ht="12.75" hidden="false" customHeight="true" outlineLevel="0" collapsed="false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</row>
    <row r="163" customFormat="false" ht="12.75" hidden="false" customHeight="true" outlineLevel="0" collapsed="false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</row>
    <row r="164" customFormat="false" ht="12.75" hidden="false" customHeight="true" outlineLevel="0" collapsed="false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</row>
    <row r="165" customFormat="false" ht="12.75" hidden="false" customHeight="true" outlineLevel="0" collapsed="false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</row>
    <row r="166" customFormat="false" ht="12.75" hidden="false" customHeight="true" outlineLevel="0" collapsed="false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</row>
    <row r="167" customFormat="false" ht="12.75" hidden="false" customHeight="true" outlineLevel="0" collapsed="false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</row>
    <row r="168" customFormat="false" ht="12.75" hidden="false" customHeight="true" outlineLevel="0" collapsed="false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</row>
    <row r="169" customFormat="false" ht="12.75" hidden="false" customHeight="true" outlineLevel="0" collapsed="false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</row>
    <row r="170" customFormat="false" ht="12.75" hidden="false" customHeight="true" outlineLevel="0" collapsed="false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</row>
    <row r="171" customFormat="false" ht="12.75" hidden="false" customHeight="true" outlineLevel="0" collapsed="false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</row>
    <row r="172" customFormat="false" ht="12.75" hidden="false" customHeight="true" outlineLevel="0" collapsed="false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</row>
    <row r="173" customFormat="false" ht="12.75" hidden="false" customHeight="true" outlineLevel="0" collapsed="false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</row>
    <row r="174" customFormat="false" ht="12.75" hidden="false" customHeight="true" outlineLevel="0" collapsed="false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</row>
    <row r="175" customFormat="false" ht="12.75" hidden="false" customHeight="true" outlineLevel="0" collapsed="false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</row>
    <row r="176" customFormat="false" ht="12.75" hidden="false" customHeight="true" outlineLevel="0" collapsed="false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</row>
    <row r="177" customFormat="false" ht="12.75" hidden="false" customHeight="true" outlineLevel="0" collapsed="false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</row>
    <row r="178" customFormat="false" ht="12.75" hidden="false" customHeight="true" outlineLevel="0" collapsed="false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</row>
    <row r="179" customFormat="false" ht="12.75" hidden="false" customHeight="true" outlineLevel="0" collapsed="false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</row>
    <row r="180" customFormat="false" ht="12.75" hidden="false" customHeight="true" outlineLevel="0" collapsed="false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</row>
    <row r="181" customFormat="false" ht="12.75" hidden="false" customHeight="true" outlineLevel="0" collapsed="false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</row>
    <row r="182" customFormat="false" ht="12.75" hidden="false" customHeight="true" outlineLevel="0" collapsed="false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</row>
    <row r="183" customFormat="false" ht="12.75" hidden="false" customHeight="true" outlineLevel="0" collapsed="false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</row>
    <row r="184" customFormat="false" ht="12.75" hidden="false" customHeight="true" outlineLevel="0" collapsed="false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</row>
    <row r="185" customFormat="false" ht="12.75" hidden="false" customHeight="true" outlineLevel="0" collapsed="false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</row>
    <row r="186" customFormat="false" ht="12.75" hidden="false" customHeight="true" outlineLevel="0" collapsed="false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</row>
    <row r="187" customFormat="false" ht="12.75" hidden="false" customHeight="true" outlineLevel="0" collapsed="false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</row>
    <row r="188" customFormat="false" ht="12.75" hidden="false" customHeight="true" outlineLevel="0" collapsed="false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</row>
    <row r="189" customFormat="false" ht="12.75" hidden="false" customHeight="true" outlineLevel="0" collapsed="false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</row>
    <row r="190" customFormat="false" ht="12.75" hidden="false" customHeight="true" outlineLevel="0" collapsed="false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</row>
    <row r="191" customFormat="false" ht="12.75" hidden="false" customHeight="true" outlineLevel="0" collapsed="false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</row>
    <row r="192" customFormat="false" ht="12.75" hidden="false" customHeight="true" outlineLevel="0" collapsed="false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</row>
    <row r="193" customFormat="false" ht="12.75" hidden="false" customHeight="true" outlineLevel="0" collapsed="false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</row>
    <row r="194" customFormat="false" ht="12.75" hidden="false" customHeight="true" outlineLevel="0" collapsed="false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</row>
    <row r="195" customFormat="false" ht="12.75" hidden="false" customHeight="true" outlineLevel="0" collapsed="false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</row>
    <row r="196" customFormat="false" ht="12.75" hidden="false" customHeight="true" outlineLevel="0" collapsed="false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</row>
    <row r="197" customFormat="false" ht="12.75" hidden="false" customHeight="true" outlineLevel="0" collapsed="false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</row>
    <row r="198" customFormat="false" ht="12.75" hidden="false" customHeight="true" outlineLevel="0" collapsed="false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</row>
    <row r="199" customFormat="false" ht="12.75" hidden="false" customHeight="true" outlineLevel="0" collapsed="false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</row>
    <row r="200" customFormat="false" ht="12.75" hidden="false" customHeight="true" outlineLevel="0" collapsed="false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</row>
    <row r="201" customFormat="false" ht="12.75" hidden="false" customHeight="true" outlineLevel="0" collapsed="false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</row>
    <row r="202" customFormat="false" ht="12.75" hidden="false" customHeight="true" outlineLevel="0" collapsed="false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</row>
    <row r="203" customFormat="false" ht="12.75" hidden="false" customHeight="true" outlineLevel="0" collapsed="false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</row>
    <row r="204" customFormat="false" ht="12.75" hidden="false" customHeight="true" outlineLevel="0" collapsed="false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</row>
    <row r="205" customFormat="false" ht="12.75" hidden="false" customHeight="true" outlineLevel="0" collapsed="false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</row>
    <row r="206" customFormat="false" ht="12.75" hidden="false" customHeight="true" outlineLevel="0" collapsed="false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</row>
    <row r="207" customFormat="false" ht="12.75" hidden="false" customHeight="true" outlineLevel="0" collapsed="false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</row>
    <row r="208" customFormat="false" ht="12.75" hidden="false" customHeight="true" outlineLevel="0" collapsed="false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</row>
    <row r="209" customFormat="false" ht="12.75" hidden="false" customHeight="true" outlineLevel="0" collapsed="false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</row>
    <row r="210" customFormat="false" ht="12.75" hidden="false" customHeight="true" outlineLevel="0" collapsed="false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</row>
    <row r="211" customFormat="false" ht="12.75" hidden="false" customHeight="true" outlineLevel="0" collapsed="false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</row>
    <row r="212" customFormat="false" ht="12.75" hidden="false" customHeight="true" outlineLevel="0" collapsed="false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</row>
    <row r="213" customFormat="false" ht="12.75" hidden="false" customHeight="true" outlineLevel="0" collapsed="false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</row>
    <row r="214" customFormat="false" ht="12.75" hidden="false" customHeight="true" outlineLevel="0" collapsed="false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</row>
    <row r="215" customFormat="false" ht="12.75" hidden="false" customHeight="true" outlineLevel="0" collapsed="false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</row>
    <row r="216" customFormat="false" ht="12.75" hidden="false" customHeight="true" outlineLevel="0" collapsed="false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</row>
    <row r="217" customFormat="false" ht="12.75" hidden="false" customHeight="true" outlineLevel="0" collapsed="false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</row>
    <row r="218" customFormat="false" ht="12.75" hidden="false" customHeight="true" outlineLevel="0" collapsed="false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</row>
    <row r="219" customFormat="false" ht="12.75" hidden="false" customHeight="true" outlineLevel="0" collapsed="false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</row>
    <row r="220" customFormat="false" ht="12.75" hidden="false" customHeight="true" outlineLevel="0" collapsed="false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</row>
    <row r="221" customFormat="false" ht="12.75" hidden="false" customHeight="true" outlineLevel="0" collapsed="false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</row>
    <row r="222" customFormat="false" ht="12.75" hidden="false" customHeight="true" outlineLevel="0" collapsed="false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</row>
    <row r="223" customFormat="false" ht="12.75" hidden="false" customHeight="true" outlineLevel="0" collapsed="false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</row>
    <row r="224" customFormat="false" ht="12.75" hidden="false" customHeight="true" outlineLevel="0" collapsed="false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</row>
    <row r="225" customFormat="false" ht="12.75" hidden="false" customHeight="true" outlineLevel="0" collapsed="false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</row>
    <row r="226" customFormat="false" ht="12.75" hidden="false" customHeight="true" outlineLevel="0" collapsed="false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</row>
    <row r="227" customFormat="false" ht="12.75" hidden="false" customHeight="true" outlineLevel="0" collapsed="false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</row>
    <row r="228" customFormat="false" ht="12.75" hidden="false" customHeight="true" outlineLevel="0" collapsed="false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</row>
    <row r="229" customFormat="false" ht="12.75" hidden="false" customHeight="true" outlineLevel="0" collapsed="false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</row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10">
    <mergeCell ref="B1:D1"/>
    <mergeCell ref="B20:D20"/>
    <mergeCell ref="B22:D22"/>
    <mergeCell ref="B23:D23"/>
    <mergeCell ref="B24:D24"/>
    <mergeCell ref="B25:D25"/>
    <mergeCell ref="B26:D26"/>
    <mergeCell ref="B27:D27"/>
    <mergeCell ref="B28:D28"/>
    <mergeCell ref="B29:D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2026-10-09T01:07:21Z</dcterms:created>
  <dc:creator>openpyxl</dc:creator>
  <dc:description/>
  <dc:language>en-US</dc:language>
  <cp:lastModifiedBy/>
  <dcterms:modified xsi:type="dcterms:W3CDTF">2026-10-09T23:16:20Z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