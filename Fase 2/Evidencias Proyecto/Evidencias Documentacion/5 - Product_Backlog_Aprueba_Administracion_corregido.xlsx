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_Backlo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<sst xmlns="http://schemas.openxmlformats.org/spreadsheetml/2006/main" count="213" uniqueCount="175">
  <si>
    <t xml:space="preserve">Product Backlog de Aprueba Administración</t>
  </si>
  <si>
    <t xml:space="preserve">26 historias: las 23 del archivo 1.1 (con HU-23 dividida en HU-23 a HU-25) y HU-26 de Tutores, agregada por el equipo. Puntos, prioridades y sprints propuestos para validar con Karina Alvarez.</t>
  </si>
  <si>
    <t xml:space="preserve">Total Puntos:</t>
  </si>
  <si>
    <t xml:space="preserve">Product Owner: Karina Alvarez. Developers: David Arenas (frontend) y Amaru Rojas (backend).</t>
  </si>
  <si>
    <t xml:space="preserve">ID</t>
  </si>
  <si>
    <t xml:space="preserve">Historia de usuario</t>
  </si>
  <si>
    <t xml:space="preserve">Puntos estimados</t>
  </si>
  <si>
    <t xml:space="preserve">Prioridad propuesta</t>
  </si>
  <si>
    <t xml:space="preserve">Sprint de referencia</t>
  </si>
  <si>
    <t xml:space="preserve">Criterios de aceptación</t>
  </si>
  <si>
    <t xml:space="preserve">Estado / antecedente</t>
  </si>
  <si>
    <t xml:space="preserve">Dependencias y observaciones</t>
  </si>
  <si>
    <t xml:space="preserve">HU-01</t>
  </si>
  <si>
    <t xml:space="preserve">Como un usuario administrativo Necesito navegar entre las secciones de la consola desde una barra lateral y cambiar el idioma y el tema. Con la finalidad de trabajar cómodamente en español o inglés, con modo claro u oscuro.</t>
  </si>
  <si>
    <t xml:space="preserve">Alta</t>
  </si>
  <si>
    <t xml:space="preserve">S1 · D-E1</t>
  </si>
  <si>
    <t xml:space="preserve">1. Navegación entre secciones
2. Barra lateral responsiva
3. Tema claro/oscuro
4. Cambio de idioma</t>
  </si>
  <si>
    <t xml:space="preserve">Verificado en las pruebas estándar (navegación, temas, idioma y adaptación)</t>
  </si>
  <si>
    <t xml:space="preserve">Base de navegación, tema e idioma.</t>
  </si>
  <si>
    <t xml:space="preserve">HU-02</t>
  </si>
  <si>
    <t xml:space="preserve">Como un administrador Necesito iniciar sesión con correo, contraseña y un código OTP. Con la finalidad de acceder a la consola de forma segura con segundo factor.</t>
  </si>
  <si>
    <t xml:space="preserve">S2 · D-E1</t>
  </si>
  <si>
    <t xml:space="preserve">1. Login con OTP válido
2. Segundo factor requerido
3. Renovación de sesión</t>
  </si>
  <si>
    <t xml:space="preserve">Login, credenciales y sesión verificados; OTP real y SEG-01/SEG-02 pendientes de corregir</t>
  </si>
  <si>
    <t xml:space="preserve">HU-01. MFA real y credenciales protegidas; corregir SEG-01 y SEG-02.</t>
  </si>
  <si>
    <t xml:space="preserve">HU-03</t>
  </si>
  <si>
    <t xml:space="preserve">Como un administrador general Necesito que cada persona vea solo las secciones y acciones de su rol (gerencia, finanzas, operaciones, soporte). Con la finalidad de evitar accesos y acciones no autorizados.</t>
  </si>
  <si>
    <t xml:space="preserve">1. Secciones según rol
2. Acciones restringidas ocultas
3. Bloqueo en el servidor</t>
  </si>
  <si>
    <t xml:space="preserve">Verificado (permisos por rol en el servidor y cierre de sesión)</t>
  </si>
  <si>
    <t xml:space="preserve">HU-04</t>
  </si>
  <si>
    <t xml:space="preserve">Como un gerente Necesito ver un resumen con los KPIs principales y gráficos de descargas y conversión. Con la finalidad de conocer el estado del negocio de un vistazo.</t>
  </si>
  <si>
    <t xml:space="preserve">Media</t>
  </si>
  <si>
    <t xml:space="preserve">S3 · D-E2</t>
  </si>
  <si>
    <t xml:space="preserve">1. KPIs con variación
2. Gráficos del resumen
3. Cambio de rango</t>
  </si>
  <si>
    <t xml:space="preserve">Verificado en la smoke y en los casos de prueba (métricas sintéticas)</t>
  </si>
  <si>
    <t xml:space="preserve">HU-01, HU-03; métricas sintéticas identificadas.</t>
  </si>
  <si>
    <t xml:space="preserve">HU-05</t>
  </si>
  <si>
    <t xml:space="preserve">Como un operador Necesito ver el estado de salud de los servicios dentro del resumen. Con la finalidad de detectar rápidamente servicios caídos y acceder a Operativa.</t>
  </si>
  <si>
    <t xml:space="preserve">1. Estado por servicio
2. Servicios caídos</t>
  </si>
  <si>
    <t xml:space="preserve">Verificado en la smoke (estado de servicios en el resumen)</t>
  </si>
  <si>
    <t xml:space="preserve">HU-04; fuente de salud operativa.</t>
  </si>
  <si>
    <t xml:space="preserve">HU-06</t>
  </si>
  <si>
    <t xml:space="preserve">Como un gerente comercial Necesito ver el embudo de conversión, la recaudación por plan y los badges por tipo con un selector de rango. Con la finalidad de analizar el desempeño comercial en distintos períodos.</t>
  </si>
  <si>
    <t xml:space="preserve">S4 · D-E3</t>
  </si>
  <si>
    <t xml:space="preserve">1. Embudo de conversión
2. Recaudación y badges
3. Rango temporal</t>
  </si>
  <si>
    <t xml:space="preserve">Verificado en la smoke (métricas comerciales con rango)</t>
  </si>
  <si>
    <t xml:space="preserve">HU-04, HU-08</t>
  </si>
  <si>
    <t xml:space="preserve">HU-07</t>
  </si>
  <si>
    <t xml:space="preserve">Como un gerente comercial Necesito exportar a CSV las métricas comerciales visibles. Con la finalidad de compartir y analizar los datos fuera de la consola.</t>
  </si>
  <si>
    <t xml:space="preserve">1. Exportar CSV
2. Rango respetado</t>
  </si>
  <si>
    <t xml:space="preserve">Verificado en las pruebas estándar (exportación CSV con rango)</t>
  </si>
  <si>
    <t xml:space="preserve">HU-06; exportación CSV con el rango elegido.</t>
  </si>
  <si>
    <t xml:space="preserve">HU-08</t>
  </si>
  <si>
    <t xml:space="preserve">Como un responsable de finanzas Necesito que los datos de recaudación solo sean accesibles con rol finance o admin. Con la finalidad de proteger la información financiera.</t>
  </si>
  <si>
    <t xml:space="preserve">1. Acceso permitido
2. Acceso denegado</t>
  </si>
  <si>
    <t xml:space="preserve">Verificado (acceso por rol finance, la smoke confirma el 403)</t>
  </si>
  <si>
    <t xml:space="preserve">HU-03; acceso restringido al rol finance.</t>
  </si>
  <si>
    <t xml:space="preserve">HU-09</t>
  </si>
  <si>
    <t xml:space="preserve">Como un gerente comercial Necesito ver una tabla de sponsors con nivel, aporte, beneficios ofrecidos y cobrados y estado, junto a un gráfico de aporte mensual. Con la finalidad de hacer seguimiento a los aportes de cada sponsor.</t>
  </si>
  <si>
    <t xml:space="preserve">S5 · D-E4</t>
  </si>
  <si>
    <t xml:space="preserve">1. Tabla de sponsors
2. Gráfico de aportes</t>
  </si>
  <si>
    <t xml:space="preserve">Cierre funcional verificado por el equipo; revalidación tras corregir SEG-01 y SEG-02</t>
  </si>
  <si>
    <t xml:space="preserve">HU-01, HU-02, HU-03</t>
  </si>
  <si>
    <t xml:space="preserve">HU-10</t>
  </si>
  <si>
    <t xml:space="preserve">Como un gerente comercial Necesito crear, editar y dar de baja sponsors y definir sus beneficios (costo y stock). Con la finalidad de mantener actualizado el catálogo de beneficios.</t>
  </si>
  <si>
    <t xml:space="preserve">1. Crear sponsor con beneficios
2. Editar sponsor
3. Gestionar costo y stock
4. Dar de baja</t>
  </si>
  <si>
    <t xml:space="preserve">HU-11</t>
  </si>
  <si>
    <t xml:space="preserve">Como un gerente comercial Necesito comparar los beneficios ofrecidos con los efectivamente cobrados por cada sponsor. Con la finalidad de conciliar y reportar el uso real del programa de fidelidad.</t>
  </si>
  <si>
    <t xml:space="preserve">1. Conteo de cobrados
2. Ofrecidos vs cobrados</t>
  </si>
  <si>
    <t xml:space="preserve">HU-09, HU-10; ofrecidos = beneficios activos, no suma de stock.</t>
  </si>
  <si>
    <t xml:space="preserve">HU-12</t>
  </si>
  <si>
    <t xml:space="preserve">Como un operador Necesito ver la disponibilidad de la app en las tiendas y el estado de los servicios con su uptime y latencia. Con la finalidad de monitorear la plataforma.</t>
  </si>
  <si>
    <t xml:space="preserve">S6 · D-E5</t>
  </si>
  <si>
    <t xml:space="preserve">1. Tabla de tiendas
2. Estado de servicios</t>
  </si>
  <si>
    <t xml:space="preserve">Verificado en la smoke (tiendas y servicios, datos simulados)</t>
  </si>
  <si>
    <t xml:space="preserve">HU-03; datos de monitoreo simulados hasta conectar Cloud Monitoring.</t>
  </si>
  <si>
    <t xml:space="preserve">HU-13</t>
  </si>
  <si>
    <t xml:space="preserve">Como un operador Necesito ver el uso de CPU y memoria de los contenedores y reiniciarlos. Con la finalidad de recuperar la infraestructura ante fallas.</t>
  </si>
  <si>
    <t xml:space="preserve">1. Uso de contenedores
2. Reinicio permitido
3. Reinicio bloqueado</t>
  </si>
  <si>
    <t xml:space="preserve">Verificado con datos simulados; el reinicio real depende de Cloud Run</t>
  </si>
  <si>
    <t xml:space="preserve">HU-12; reinicio simulado hasta conectar Cloud Run.</t>
  </si>
  <si>
    <t xml:space="preserve">HU-14</t>
  </si>
  <si>
    <t xml:space="preserve">Como un agente de soporte Necesito buscar usuarios por nombre o correo, filtrarlos por estado y plan, y ver su detalle. Con la finalidad de encontrar rápidamente a quien necesita ayuda.</t>
  </si>
  <si>
    <t xml:space="preserve">S6 · D-E6</t>
  </si>
  <si>
    <t xml:space="preserve">1. Búsqueda
2. Filtros y paginación
3. Detalle de usuario</t>
  </si>
  <si>
    <t xml:space="preserve">Verificado en la smoke (búsqueda, paginación y detalle)</t>
  </si>
  <si>
    <t xml:space="preserve">HU-15</t>
  </si>
  <si>
    <t xml:space="preserve">Como un agente de soporte Necesito suspender, reactivar, cambiar el correo o ajustar el plan de un usuario indicando un motivo. Con la finalidad de resolver solicitudes de soporte de forma controlada.</t>
  </si>
  <si>
    <t xml:space="preserve">S7 · D-E6</t>
  </si>
  <si>
    <t xml:space="preserve">1. Acción con motivo
2. Motivo obligatorio
3. Auditoría</t>
  </si>
  <si>
    <t xml:space="preserve">Verificado en la smoke (suspender, reactivar y cambio de plan)</t>
  </si>
  <si>
    <t xml:space="preserve">HU-14; cambiar correo mediante pendingEmail y verificación, no sobrescribir espejo Auth.</t>
  </si>
  <si>
    <t xml:space="preserve">HU-16</t>
  </si>
  <si>
    <t xml:space="preserve">Como un agente de soporte Necesito gestionar los tickets de soporte cambiando su estado, prioridad y asignación. Con la finalidad de dar seguimiento ordenado a cada caso.</t>
  </si>
  <si>
    <t xml:space="preserve">1. Filtrar tickets
2. Editar ticket
3. Responder ticket</t>
  </si>
  <si>
    <t xml:space="preserve">Verificado (transiciones, respuestas y notas internas)</t>
  </si>
  <si>
    <t xml:space="preserve">HU-14; supportTickets y subcolección messages.</t>
  </si>
  <si>
    <t xml:space="preserve">HU-17</t>
  </si>
  <si>
    <t xml:space="preserve">Como un moderador de contenido Necesito revisar las solicitudes de recorrección y confirmarlas o rechazarlas. Con la finalidad de mantener la calidad de las preguntas y premiar a los alumnos.</t>
  </si>
  <si>
    <t xml:space="preserve">S8 · D-E6</t>
  </si>
  <si>
    <t xml:space="preserve">1. Listar solicitudes
2. Confirmar solicitud
3. Rechazar solicitud
4. Resolución única</t>
  </si>
  <si>
    <t xml:space="preserve">Verificado en la smoke (confirmar, resolución única y recompensa)</t>
  </si>
  <si>
    <t xml:space="preserve">HU-14; recompensa transaccional registrada en el historial de medallas.</t>
  </si>
  <si>
    <t xml:space="preserve">HU-18</t>
  </si>
  <si>
    <t xml:space="preserve">Como un administrador de contenido Necesito listar, filtrar, crear y editar preguntas del banco e importarlas masivamente desde JSON. Con la finalidad de mantener el banco de preguntas actualizado.</t>
  </si>
  <si>
    <t xml:space="preserve">S8 · D-E7</t>
  </si>
  <si>
    <t xml:space="preserve">1. Filtrar preguntas
2. Crear o editar pregunta
3. Validar respuesta correcta
4. Importación masiva</t>
  </si>
  <si>
    <t xml:space="preserve">Implementado; pruebas pendientes</t>
  </si>
  <si>
    <t xml:space="preserve">HU-03; validar respuesta correcta en creación e importación.</t>
  </si>
  <si>
    <t xml:space="preserve">HU-19</t>
  </si>
  <si>
    <t xml:space="preserve">Como un gerente Necesito armar planes arrastrando funcionalidades a cada plan y ajustando sus límites. Con la finalidad de configurar la oferta comercial sin depender del equipo técnico.</t>
  </si>
  <si>
    <t xml:space="preserve">S9 · D-E7</t>
  </si>
  <si>
    <t xml:space="preserve">1. Arrastrar funcionalidades
2. Ajustar límites
3. Eliminar plan con suscriptores</t>
  </si>
  <si>
    <t xml:space="preserve">Verificado en la smoke (validaciones, conflictos y protección de planes)</t>
  </si>
  <si>
    <t xml:space="preserve">HU-03; catálogo features y protección de planes con suscriptores.</t>
  </si>
  <si>
    <t xml:space="preserve">HU-20</t>
  </si>
  <si>
    <t xml:space="preserve">Como un gerente Necesito editar los precios mensual y anual y el estado de publicación de cada plan. Con la finalidad de mantener los precios actualizados, también en Stripe.</t>
  </si>
  <si>
    <t xml:space="preserve">1. Editar precios
2. Publicación y plan destacado
3. Sincronización con Stripe</t>
  </si>
  <si>
    <t xml:space="preserve">Precios y publicación verificados; sincronización con Stripe pendiente de decisión</t>
  </si>
  <si>
    <t xml:space="preserve">HU-19; la sincronización con Stripe depende de una decisión pendiente con Max.</t>
  </si>
  <si>
    <t xml:space="preserve">HU-21</t>
  </si>
  <si>
    <t xml:space="preserve">Como un administrador Necesito consultar una bitácora de auditoría con las acciones administrativas sensibles. Con la finalidad de tener trazabilidad de quién hizo qué y cuándo.</t>
  </si>
  <si>
    <t xml:space="preserve">S3 · D-E8</t>
  </si>
  <si>
    <t xml:space="preserve">1. Registro de acciones sensibles
2. Consultar bitácora
3. Acceso restringido</t>
  </si>
  <si>
    <t xml:space="preserve">Verificado (smoke y pruebas estándar)</t>
  </si>
  <si>
    <t xml:space="preserve">HU-03; registro de acciones integrado durante todo el desarrollo.</t>
  </si>
  <si>
    <t xml:space="preserve">HU-22</t>
  </si>
  <si>
    <t xml:space="preserve">Como un usuario administrativo Necesito usar las tablas y gráficos de la consola en pantallas pequeñas y con buena accesibilidad. Con la finalidad de operar la consola desde cualquier dispositivo.</t>
  </si>
  <si>
    <t xml:space="preserve">S1 · D-E8</t>
  </si>
  <si>
    <t xml:space="preserve">1. Tablas y gráficos en pantallas pequeñas
2. Accesibilidad</t>
  </si>
  <si>
    <t xml:space="preserve">Verificado en las pruebas estándar (360 a 1920 px)</t>
  </si>
  <si>
    <t xml:space="preserve">HU-01; aplicar adaptación durante todos los sprints.</t>
  </si>
  <si>
    <t xml:space="preserve">HU-23</t>
  </si>
  <si>
    <t xml:space="preserve">Como un equipo de desarrollo Necesito contar con métricas y alertas de la consola. Con la finalidad de operar y mantener la consola con confianza.</t>
  </si>
  <si>
    <t xml:space="preserve">S9 · D-E8</t>
  </si>
  <si>
    <t xml:space="preserve">1. Métricas y alertas</t>
  </si>
  <si>
    <t xml:space="preserve">Métricas sintéticas verificadas en la smoke; alertas por definir</t>
  </si>
  <si>
    <t xml:space="preserve">HU-04, HU-12, HU-13; métricas sintéticas identificadas.</t>
  </si>
  <si>
    <t xml:space="preserve">HU-24</t>
  </si>
  <si>
    <t xml:space="preserve">Como un equipo de desarrollo Necesito contar con pruebas de los flujos clave de la consola. Con la finalidad de operar y mantener la consola con confianza.</t>
  </si>
  <si>
    <t xml:space="preserve">S10 · D-E8</t>
  </si>
  <si>
    <t xml:space="preserve">1. Flujos clave probados</t>
  </si>
  <si>
    <t xml:space="preserve">Smoke de 110 comprobaciones ejecutada; plan, casos y planilla de pruebas documentados</t>
  </si>
  <si>
    <t xml:space="preserve">HU-02, HU-03, HU-21, HU-22; smoke, emulador, seed:emu y seguridad.</t>
  </si>
  <si>
    <t xml:space="preserve">HU-25</t>
  </si>
  <si>
    <t xml:space="preserve">Como un equipo de desarrollo Necesito contar con la consola desplegada. Con la finalidad de operar y mantener la consola con confianza.</t>
  </si>
  <si>
    <t xml:space="preserve">S2 · D-E8</t>
  </si>
  <si>
    <t xml:space="preserve">1. Despliegue</t>
  </si>
  <si>
    <t xml:space="preserve">Consola desplegada en Vercel</t>
  </si>
  <si>
    <t xml:space="preserve">HU-01; despliegue en Vercel.</t>
  </si>
  <si>
    <t xml:space="preserve">HU-26</t>
  </si>
  <si>
    <t xml:space="preserve">Como un administrador Necesito gestionar los tutores de la plataforma: listar, filtrar, ver su ficha, verificarlos, pausarlos y eliminarlos. Con la finalidad de mantener un directorio de tutores confiable.</t>
  </si>
  <si>
    <t xml:space="preserve">S10 · D-E7</t>
  </si>
  <si>
    <t xml:space="preserve">1. Listar y filtrar tutores
2. Ficha del tutor
3. Verificar y pausar
4. Eliminar con confirmación</t>
  </si>
  <si>
    <t xml:space="preserve">Implementado; estado y persistencia verificados en las pruebas estándar</t>
  </si>
  <si>
    <t xml:space="preserve">HU-03; módulo agregado por el equipo (colecciones tutors, tutorReviews y tutorRequests).</t>
  </si>
  <si>
    <t xml:space="preserve">Prioridad de negocio: Sponsors y Beneficios (HU-09 a HU-11, D-E4).</t>
  </si>
  <si>
    <t xml:space="preserve">Estimaciones en puntos de historia del equipo de desarrollo, sujetas a validación con la Product Owner.</t>
  </si>
  <si>
    <t xml:space="preserve">Los sprints S1 a S10 son la referencia de planificación del equipo; la carga se niveló entre 13 y 18 puntos por sprint.</t>
  </si>
  <si>
    <t xml:space="preserve">Estado según las pruebas estándar, los casos de prueba y la smoke al 09/10/2026. Los defectos SEG-01 y SEG-02 siguen abiertos y condicionan la revalidación de Sponsors y Beneficios.</t>
  </si>
  <si>
    <t xml:space="preserve">Criterios e identificadores conservados del archivo 1.1. HU-23 se dividió en HU-23, HU-24 y HU-25 sin cambiar sus criterios; HU-26 incorpora el módulo de Tutores.</t>
  </si>
  <si>
    <t xml:space="preserve">HU-11 distingue la cantidad de beneficios activos de los canjes acumulados, según el modelo de datos de Max.</t>
  </si>
  <si>
    <t xml:space="preserve">Sprint</t>
  </si>
  <si>
    <t xml:space="preserve">Puntos por sprint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</si>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</sst>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theme="1"/>
      <name val="Calibri"/>
      <family val="0"/>
      <charset val="1"/>
    </font>
    <font>
      <sz val="14"/>
      <color theme="1"/>
      <name val="Calibri"/>
      <family val="0"/>
      <charset val="1"/>
    </font>
    <font>
      <sz val="18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8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5" min="5" style="1" width="20"/>
    <col collapsed="false" customWidth="true" hidden="false" outlineLevel="0" max="6" min="6" style="1" width="45"/>
    <col collapsed="false" customWidth="true" hidden="false" outlineLevel="0" max="7" min="7" style="1" width="32"/>
    <col collapsed="false" customWidth="true" hidden="false" outlineLevel="0" max="8" min="8" style="1" width="53"/>
  </cols>
  <sheetData>
    <row r="1" customFormat="false" ht="34.5" hidden="false" customHeight="true" outlineLevel="0" collapsed="false">
      <c r="A1" s="2" t="s">
        <v>0</v>
      </c>
    </row>
    <row r="2" customFormat="false" ht="31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42.75" hidden="false" customHeight="true" outlineLevel="0" collapsed="false">
      <c r="A3" s="2"/>
    </row>
    <row r="4" customFormat="false" ht="31.5" hidden="false" customHeight="true" outlineLevel="0" collapsed="false">
      <c r="A4" s="4" t="s">
        <v>2</v>
      </c>
      <c r="B4" s="5" t="n">
        <f aca="false">SUM(C7:C32)</f>
        <v>161</v>
      </c>
      <c r="D4" s="6" t="s">
        <v>3</v>
      </c>
      <c r="E4" s="6"/>
      <c r="F4" s="6"/>
      <c r="G4" s="6"/>
      <c r="H4" s="6"/>
    </row>
    <row r="5" customFormat="false" ht="14.25" hidden="false" customHeight="true" outlineLevel="0" collapsed="false"/>
    <row r="6" customFormat="false" ht="36" hidden="false" customHeight="true" outlineLevel="0" collapsed="false">
      <c r="A6" s="7" t="s">
        <v>4</v>
      </c>
      <c r="B6" s="7" t="s">
        <v>5</v>
      </c>
      <c r="C6" s="7" t="s">
        <v>6</v>
      </c>
      <c r="D6" s="8" t="s">
        <v>7</v>
      </c>
      <c r="E6" s="9" t="s">
        <v>8</v>
      </c>
      <c r="F6" s="9" t="s">
        <v>9</v>
      </c>
      <c r="G6" s="9" t="s">
        <v>10</v>
      </c>
      <c r="H6" s="9" t="s">
        <v>11</v>
      </c>
    </row>
    <row r="7" customFormat="false" ht="99.75" hidden="false" customHeight="true" outlineLevel="0" collapsed="false">
      <c r="A7" s="10" t="s">
        <v>12</v>
      </c>
      <c r="B7" s="10" t="s">
        <v>13</v>
      </c>
      <c r="C7" s="10" t="n">
        <v>8</v>
      </c>
      <c r="D7" s="11" t="s">
        <v>14</v>
      </c>
      <c r="E7" s="11" t="s">
        <v>15</v>
      </c>
      <c r="F7" s="11" t="s">
        <v>16</v>
      </c>
      <c r="G7" s="11" t="s">
        <v>17</v>
      </c>
      <c r="H7" s="11" t="s">
        <v>18</v>
      </c>
    </row>
    <row r="8" customFormat="false" ht="99.75" hidden="false" customHeight="true" outlineLevel="0" collapsed="false">
      <c r="A8" s="10" t="s">
        <v>19</v>
      </c>
      <c r="B8" s="10" t="s">
        <v>20</v>
      </c>
      <c r="C8" s="10" t="n">
        <v>8</v>
      </c>
      <c r="D8" s="11" t="s">
        <v>14</v>
      </c>
      <c r="E8" s="11" t="s">
        <v>21</v>
      </c>
      <c r="F8" s="11" t="s">
        <v>22</v>
      </c>
      <c r="G8" s="11" t="s">
        <v>23</v>
      </c>
      <c r="H8" s="11" t="s">
        <v>24</v>
      </c>
    </row>
    <row r="9" customFormat="false" ht="99.75" hidden="false" customHeight="true" outlineLevel="0" collapsed="false">
      <c r="A9" s="10" t="s">
        <v>25</v>
      </c>
      <c r="B9" s="10" t="s">
        <v>26</v>
      </c>
      <c r="C9" s="10" t="n">
        <v>5</v>
      </c>
      <c r="D9" s="11" t="s">
        <v>14</v>
      </c>
      <c r="E9" s="11" t="s">
        <v>21</v>
      </c>
      <c r="F9" s="11" t="s">
        <v>27</v>
      </c>
      <c r="G9" s="11" t="s">
        <v>28</v>
      </c>
      <c r="H9" s="11" t="s">
        <v>19</v>
      </c>
    </row>
    <row r="10" customFormat="false" ht="99.75" hidden="false" customHeight="true" outlineLevel="0" collapsed="false">
      <c r="A10" s="10" t="s">
        <v>29</v>
      </c>
      <c r="B10" s="10" t="s">
        <v>30</v>
      </c>
      <c r="C10" s="10" t="n">
        <v>8</v>
      </c>
      <c r="D10" s="11" t="s">
        <v>31</v>
      </c>
      <c r="E10" s="11" t="s">
        <v>32</v>
      </c>
      <c r="F10" s="11" t="s">
        <v>33</v>
      </c>
      <c r="G10" s="11" t="s">
        <v>34</v>
      </c>
      <c r="H10" s="11" t="s">
        <v>35</v>
      </c>
    </row>
    <row r="11" customFormat="false" ht="99.75" hidden="false" customHeight="true" outlineLevel="0" collapsed="false">
      <c r="A11" s="10" t="s">
        <v>36</v>
      </c>
      <c r="B11" s="10" t="s">
        <v>37</v>
      </c>
      <c r="C11" s="10" t="n">
        <v>3</v>
      </c>
      <c r="D11" s="11" t="s">
        <v>31</v>
      </c>
      <c r="E11" s="11" t="s">
        <v>32</v>
      </c>
      <c r="F11" s="11" t="s">
        <v>38</v>
      </c>
      <c r="G11" s="11" t="s">
        <v>39</v>
      </c>
      <c r="H11" s="11" t="s">
        <v>40</v>
      </c>
    </row>
    <row r="12" customFormat="false" ht="99.75" hidden="false" customHeight="true" outlineLevel="0" collapsed="false">
      <c r="A12" s="10" t="s">
        <v>41</v>
      </c>
      <c r="B12" s="10" t="s">
        <v>42</v>
      </c>
      <c r="C12" s="10" t="n">
        <v>8</v>
      </c>
      <c r="D12" s="11" t="s">
        <v>31</v>
      </c>
      <c r="E12" s="11" t="s">
        <v>43</v>
      </c>
      <c r="F12" s="11" t="s">
        <v>44</v>
      </c>
      <c r="G12" s="11" t="s">
        <v>45</v>
      </c>
      <c r="H12" s="11" t="s">
        <v>46</v>
      </c>
    </row>
    <row r="13" customFormat="false" ht="99.75" hidden="false" customHeight="true" outlineLevel="0" collapsed="false">
      <c r="A13" s="10" t="s">
        <v>47</v>
      </c>
      <c r="B13" s="10" t="s">
        <v>48</v>
      </c>
      <c r="C13" s="10" t="n">
        <v>3</v>
      </c>
      <c r="D13" s="11" t="s">
        <v>31</v>
      </c>
      <c r="E13" s="11" t="s">
        <v>43</v>
      </c>
      <c r="F13" s="11" t="s">
        <v>49</v>
      </c>
      <c r="G13" s="11" t="s">
        <v>50</v>
      </c>
      <c r="H13" s="11" t="s">
        <v>51</v>
      </c>
    </row>
    <row r="14" customFormat="false" ht="99.75" hidden="false" customHeight="true" outlineLevel="0" collapsed="false">
      <c r="A14" s="10" t="s">
        <v>52</v>
      </c>
      <c r="B14" s="10" t="s">
        <v>53</v>
      </c>
      <c r="C14" s="10" t="n">
        <v>3</v>
      </c>
      <c r="D14" s="11" t="s">
        <v>14</v>
      </c>
      <c r="E14" s="11" t="s">
        <v>43</v>
      </c>
      <c r="F14" s="11" t="s">
        <v>54</v>
      </c>
      <c r="G14" s="11" t="s">
        <v>55</v>
      </c>
      <c r="H14" s="11" t="s">
        <v>56</v>
      </c>
    </row>
    <row r="15" customFormat="false" ht="99.75" hidden="false" customHeight="true" outlineLevel="0" collapsed="false">
      <c r="A15" s="10" t="s">
        <v>57</v>
      </c>
      <c r="B15" s="10" t="s">
        <v>58</v>
      </c>
      <c r="C15" s="10" t="n">
        <v>5</v>
      </c>
      <c r="D15" s="11" t="s">
        <v>14</v>
      </c>
      <c r="E15" s="11" t="s">
        <v>59</v>
      </c>
      <c r="F15" s="11" t="s">
        <v>60</v>
      </c>
      <c r="G15" s="11" t="s">
        <v>61</v>
      </c>
      <c r="H15" s="11" t="s">
        <v>62</v>
      </c>
    </row>
    <row r="16" customFormat="false" ht="99.75" hidden="false" customHeight="true" outlineLevel="0" collapsed="false">
      <c r="A16" s="10" t="s">
        <v>63</v>
      </c>
      <c r="B16" s="10" t="s">
        <v>64</v>
      </c>
      <c r="C16" s="10" t="n">
        <v>8</v>
      </c>
      <c r="D16" s="11" t="s">
        <v>14</v>
      </c>
      <c r="E16" s="11" t="s">
        <v>59</v>
      </c>
      <c r="F16" s="11" t="s">
        <v>65</v>
      </c>
      <c r="G16" s="11" t="s">
        <v>61</v>
      </c>
      <c r="H16" s="11" t="s">
        <v>57</v>
      </c>
    </row>
    <row r="17" customFormat="false" ht="99.75" hidden="false" customHeight="true" outlineLevel="0" collapsed="false">
      <c r="A17" s="10" t="s">
        <v>66</v>
      </c>
      <c r="B17" s="10" t="s">
        <v>67</v>
      </c>
      <c r="C17" s="10" t="n">
        <v>5</v>
      </c>
      <c r="D17" s="11" t="s">
        <v>14</v>
      </c>
      <c r="E17" s="11" t="s">
        <v>59</v>
      </c>
      <c r="F17" s="11" t="s">
        <v>68</v>
      </c>
      <c r="G17" s="11" t="s">
        <v>61</v>
      </c>
      <c r="H17" s="11" t="s">
        <v>69</v>
      </c>
    </row>
    <row r="18" customFormat="false" ht="99.75" hidden="false" customHeight="true" outlineLevel="0" collapsed="false">
      <c r="A18" s="10" t="s">
        <v>70</v>
      </c>
      <c r="B18" s="10" t="s">
        <v>71</v>
      </c>
      <c r="C18" s="10" t="n">
        <v>5</v>
      </c>
      <c r="D18" s="11" t="s">
        <v>31</v>
      </c>
      <c r="E18" s="11" t="s">
        <v>72</v>
      </c>
      <c r="F18" s="11" t="s">
        <v>73</v>
      </c>
      <c r="G18" s="11" t="s">
        <v>74</v>
      </c>
      <c r="H18" s="11" t="s">
        <v>75</v>
      </c>
    </row>
    <row r="19" customFormat="false" ht="99.75" hidden="false" customHeight="true" outlineLevel="0" collapsed="false">
      <c r="A19" s="10" t="s">
        <v>76</v>
      </c>
      <c r="B19" s="10" t="s">
        <v>77</v>
      </c>
      <c r="C19" s="10" t="n">
        <v>8</v>
      </c>
      <c r="D19" s="11" t="s">
        <v>31</v>
      </c>
      <c r="E19" s="11" t="s">
        <v>72</v>
      </c>
      <c r="F19" s="11" t="s">
        <v>78</v>
      </c>
      <c r="G19" s="11" t="s">
        <v>79</v>
      </c>
      <c r="H19" s="11" t="s">
        <v>80</v>
      </c>
    </row>
    <row r="20" customFormat="false" ht="99.75" hidden="false" customHeight="true" outlineLevel="0" collapsed="false">
      <c r="A20" s="10" t="s">
        <v>81</v>
      </c>
      <c r="B20" s="10" t="s">
        <v>82</v>
      </c>
      <c r="C20" s="10" t="n">
        <v>5</v>
      </c>
      <c r="D20" s="11" t="s">
        <v>31</v>
      </c>
      <c r="E20" s="11" t="s">
        <v>83</v>
      </c>
      <c r="F20" s="11" t="s">
        <v>84</v>
      </c>
      <c r="G20" s="11" t="s">
        <v>85</v>
      </c>
      <c r="H20" s="11" t="s">
        <v>25</v>
      </c>
    </row>
    <row r="21" customFormat="false" ht="99.75" hidden="false" customHeight="true" outlineLevel="0" collapsed="false">
      <c r="A21" s="10" t="s">
        <v>86</v>
      </c>
      <c r="B21" s="10" t="s">
        <v>87</v>
      </c>
      <c r="C21" s="10" t="n">
        <v>8</v>
      </c>
      <c r="D21" s="11" t="s">
        <v>14</v>
      </c>
      <c r="E21" s="11" t="s">
        <v>88</v>
      </c>
      <c r="F21" s="11" t="s">
        <v>89</v>
      </c>
      <c r="G21" s="11" t="s">
        <v>90</v>
      </c>
      <c r="H21" s="11" t="s">
        <v>91</v>
      </c>
    </row>
    <row r="22" customFormat="false" ht="99.75" hidden="false" customHeight="true" outlineLevel="0" collapsed="false">
      <c r="A22" s="10" t="s">
        <v>92</v>
      </c>
      <c r="B22" s="10" t="s">
        <v>93</v>
      </c>
      <c r="C22" s="10" t="n">
        <v>8</v>
      </c>
      <c r="D22" s="11" t="s">
        <v>31</v>
      </c>
      <c r="E22" s="11" t="s">
        <v>88</v>
      </c>
      <c r="F22" s="11" t="s">
        <v>94</v>
      </c>
      <c r="G22" s="11" t="s">
        <v>95</v>
      </c>
      <c r="H22" s="11" t="s">
        <v>96</v>
      </c>
    </row>
    <row r="23" customFormat="false" ht="99.75" hidden="false" customHeight="true" outlineLevel="0" collapsed="false">
      <c r="A23" s="10" t="s">
        <v>97</v>
      </c>
      <c r="B23" s="10" t="s">
        <v>98</v>
      </c>
      <c r="C23" s="10" t="n">
        <v>8</v>
      </c>
      <c r="D23" s="11" t="s">
        <v>31</v>
      </c>
      <c r="E23" s="11" t="s">
        <v>99</v>
      </c>
      <c r="F23" s="11" t="s">
        <v>100</v>
      </c>
      <c r="G23" s="11" t="s">
        <v>101</v>
      </c>
      <c r="H23" s="11" t="s">
        <v>102</v>
      </c>
    </row>
    <row r="24" customFormat="false" ht="99.75" hidden="false" customHeight="true" outlineLevel="0" collapsed="false">
      <c r="A24" s="10" t="s">
        <v>103</v>
      </c>
      <c r="B24" s="10" t="s">
        <v>104</v>
      </c>
      <c r="C24" s="10" t="n">
        <v>8</v>
      </c>
      <c r="D24" s="11" t="s">
        <v>31</v>
      </c>
      <c r="E24" s="11" t="s">
        <v>105</v>
      </c>
      <c r="F24" s="11" t="s">
        <v>106</v>
      </c>
      <c r="G24" s="11" t="s">
        <v>107</v>
      </c>
      <c r="H24" s="11" t="s">
        <v>108</v>
      </c>
    </row>
    <row r="25" customFormat="false" ht="99.75" hidden="false" customHeight="true" outlineLevel="0" collapsed="false">
      <c r="A25" s="10" t="s">
        <v>109</v>
      </c>
      <c r="B25" s="10" t="s">
        <v>110</v>
      </c>
      <c r="C25" s="10" t="n">
        <v>8</v>
      </c>
      <c r="D25" s="11" t="s">
        <v>31</v>
      </c>
      <c r="E25" s="11" t="s">
        <v>111</v>
      </c>
      <c r="F25" s="11" t="s">
        <v>112</v>
      </c>
      <c r="G25" s="11" t="s">
        <v>113</v>
      </c>
      <c r="H25" s="11" t="s">
        <v>114</v>
      </c>
    </row>
    <row r="26" customFormat="false" ht="99.75" hidden="false" customHeight="true" outlineLevel="0" collapsed="false">
      <c r="A26" s="10" t="s">
        <v>115</v>
      </c>
      <c r="B26" s="10" t="s">
        <v>116</v>
      </c>
      <c r="C26" s="10" t="n">
        <v>5</v>
      </c>
      <c r="D26" s="11" t="s">
        <v>31</v>
      </c>
      <c r="E26" s="11" t="s">
        <v>111</v>
      </c>
      <c r="F26" s="11" t="s">
        <v>117</v>
      </c>
      <c r="G26" s="11" t="s">
        <v>118</v>
      </c>
      <c r="H26" s="11" t="s">
        <v>119</v>
      </c>
    </row>
    <row r="27" customFormat="false" ht="99.75" hidden="false" customHeight="true" outlineLevel="0" collapsed="false">
      <c r="A27" s="10" t="s">
        <v>120</v>
      </c>
      <c r="B27" s="10" t="s">
        <v>121</v>
      </c>
      <c r="C27" s="10" t="n">
        <v>5</v>
      </c>
      <c r="D27" s="11" t="s">
        <v>14</v>
      </c>
      <c r="E27" s="11" t="s">
        <v>122</v>
      </c>
      <c r="F27" s="11" t="s">
        <v>123</v>
      </c>
      <c r="G27" s="11" t="s">
        <v>124</v>
      </c>
      <c r="H27" s="11" t="s">
        <v>125</v>
      </c>
    </row>
    <row r="28" customFormat="false" ht="99.75" hidden="false" customHeight="true" outlineLevel="0" collapsed="false">
      <c r="A28" s="10" t="s">
        <v>126</v>
      </c>
      <c r="B28" s="10" t="s">
        <v>127</v>
      </c>
      <c r="C28" s="10" t="n">
        <v>8</v>
      </c>
      <c r="D28" s="11" t="s">
        <v>14</v>
      </c>
      <c r="E28" s="11" t="s">
        <v>128</v>
      </c>
      <c r="F28" s="11" t="s">
        <v>129</v>
      </c>
      <c r="G28" s="11" t="s">
        <v>130</v>
      </c>
      <c r="H28" s="11" t="s">
        <v>131</v>
      </c>
    </row>
    <row r="29" customFormat="false" ht="99.75" hidden="false" customHeight="true" outlineLevel="0" collapsed="false">
      <c r="A29" s="10" t="s">
        <v>132</v>
      </c>
      <c r="B29" s="10" t="s">
        <v>133</v>
      </c>
      <c r="C29" s="10" t="n">
        <v>5</v>
      </c>
      <c r="D29" s="11" t="s">
        <v>31</v>
      </c>
      <c r="E29" s="11" t="s">
        <v>134</v>
      </c>
      <c r="F29" s="11" t="s">
        <v>135</v>
      </c>
      <c r="G29" s="11" t="s">
        <v>136</v>
      </c>
      <c r="H29" s="11" t="s">
        <v>137</v>
      </c>
    </row>
    <row r="30" customFormat="false" ht="99.75" hidden="false" customHeight="true" outlineLevel="0" collapsed="false">
      <c r="A30" s="10" t="s">
        <v>138</v>
      </c>
      <c r="B30" s="10" t="s">
        <v>139</v>
      </c>
      <c r="C30" s="10" t="n">
        <v>5</v>
      </c>
      <c r="D30" s="11" t="s">
        <v>14</v>
      </c>
      <c r="E30" s="11" t="s">
        <v>140</v>
      </c>
      <c r="F30" s="11" t="s">
        <v>141</v>
      </c>
      <c r="G30" s="11" t="s">
        <v>142</v>
      </c>
      <c r="H30" s="11" t="s">
        <v>143</v>
      </c>
    </row>
    <row r="31" customFormat="false" ht="99.75" hidden="false" customHeight="true" outlineLevel="0" collapsed="false">
      <c r="A31" s="10" t="s">
        <v>144</v>
      </c>
      <c r="B31" s="10" t="s">
        <v>145</v>
      </c>
      <c r="C31" s="10" t="n">
        <v>3</v>
      </c>
      <c r="D31" s="11" t="s">
        <v>14</v>
      </c>
      <c r="E31" s="11" t="s">
        <v>146</v>
      </c>
      <c r="F31" s="11" t="s">
        <v>147</v>
      </c>
      <c r="G31" s="11" t="s">
        <v>148</v>
      </c>
      <c r="H31" s="11" t="s">
        <v>149</v>
      </c>
    </row>
    <row r="32" customFormat="false" ht="99.75" hidden="false" customHeight="true" outlineLevel="0" collapsed="false">
      <c r="A32" s="10" t="s">
        <v>150</v>
      </c>
      <c r="B32" s="10" t="s">
        <v>151</v>
      </c>
      <c r="C32" s="10" t="n">
        <v>8</v>
      </c>
      <c r="D32" s="11" t="s">
        <v>31</v>
      </c>
      <c r="E32" s="11" t="s">
        <v>152</v>
      </c>
      <c r="F32" s="11" t="s">
        <v>153</v>
      </c>
      <c r="G32" s="11" t="s">
        <v>154</v>
      </c>
      <c r="H32" s="11" t="s">
        <v>155</v>
      </c>
    </row>
    <row r="33" customFormat="false" ht="15" hidden="false" customHeight="false" outlineLevel="0" collapsed="false">
      <c r="A33" s="12"/>
    </row>
    <row r="34" customFormat="false" ht="15" hidden="false" customHeight="false" outlineLevel="0" collapsed="false">
      <c r="A34" s="12"/>
    </row>
    <row r="35" customFormat="false" ht="31.5" hidden="false" customHeight="true" outlineLevel="0" collapsed="false">
      <c r="A35" s="6" t="s">
        <v>156</v>
      </c>
      <c r="B35" s="6"/>
      <c r="C35" s="6"/>
      <c r="D35" s="6"/>
      <c r="E35" s="6"/>
      <c r="F35" s="6"/>
      <c r="G35" s="6"/>
      <c r="H35" s="6"/>
    </row>
    <row r="36" customFormat="false" ht="31.5" hidden="false" customHeight="true" outlineLevel="0" collapsed="false">
      <c r="A36" s="6" t="s">
        <v>157</v>
      </c>
      <c r="B36" s="6"/>
      <c r="C36" s="6"/>
      <c r="D36" s="6"/>
      <c r="E36" s="6"/>
      <c r="F36" s="6"/>
      <c r="G36" s="6"/>
      <c r="H36" s="6"/>
    </row>
    <row r="37" customFormat="false" ht="31.5" hidden="false" customHeight="true" outlineLevel="0" collapsed="false">
      <c r="A37" s="6" t="s">
        <v>158</v>
      </c>
      <c r="B37" s="6"/>
      <c r="C37" s="6"/>
      <c r="D37" s="6"/>
      <c r="E37" s="6"/>
      <c r="F37" s="6"/>
      <c r="G37" s="6"/>
      <c r="H37" s="6"/>
    </row>
    <row r="38" customFormat="false" ht="31.5" hidden="false" customHeight="true" outlineLevel="0" collapsed="false">
      <c r="A38" s="6" t="s">
        <v>159</v>
      </c>
      <c r="B38" s="6"/>
      <c r="C38" s="6"/>
      <c r="D38" s="6"/>
      <c r="E38" s="6"/>
      <c r="F38" s="6"/>
      <c r="G38" s="6"/>
      <c r="H38" s="6"/>
    </row>
    <row r="39" customFormat="false" ht="31.5" hidden="false" customHeight="true" outlineLevel="0" collapsed="false">
      <c r="A39" s="6" t="s">
        <v>160</v>
      </c>
      <c r="B39" s="6"/>
      <c r="C39" s="6"/>
      <c r="D39" s="6"/>
      <c r="E39" s="6"/>
      <c r="F39" s="6"/>
      <c r="G39" s="6"/>
      <c r="H39" s="6"/>
    </row>
    <row r="40" customFormat="false" ht="31.5" hidden="false" customHeight="true" outlineLevel="0" collapsed="false">
      <c r="A40" s="6" t="s">
        <v>161</v>
      </c>
      <c r="B40" s="6"/>
      <c r="C40" s="6"/>
      <c r="D40" s="6"/>
      <c r="E40" s="6"/>
      <c r="F40" s="6"/>
      <c r="G40" s="6"/>
      <c r="H40" s="6"/>
    </row>
    <row r="42" customFormat="false" ht="15" hidden="false" customHeight="false" outlineLevel="0" collapsed="false">
      <c r="A42" s="13" t="s">
        <v>162</v>
      </c>
      <c r="B42" s="13" t="s">
        <v>163</v>
      </c>
    </row>
    <row r="43" customFormat="false" ht="15" hidden="false" customHeight="false" outlineLevel="0" collapsed="false">
      <c r="A43" s="14" t="s">
        <v>164</v>
      </c>
      <c r="B43" s="14" t="n">
        <f aca="false">SUMIF($E$7:$E$32,A43&amp;" ·*",$C$7:$C$32)</f>
        <v>16</v>
      </c>
    </row>
    <row r="44" customFormat="false" ht="15" hidden="false" customHeight="false" outlineLevel="0" collapsed="false">
      <c r="A44" s="14" t="s">
        <v>165</v>
      </c>
      <c r="B44" s="14" t="n">
        <f aca="false">SUMIF($E$7:$E$32,A44&amp;" ·*",$C$7:$C$32)</f>
        <v>16</v>
      </c>
    </row>
    <row r="45" customFormat="false" ht="14.25" hidden="false" customHeight="true" outlineLevel="0" collapsed="false">
      <c r="A45" s="14" t="s">
        <v>166</v>
      </c>
      <c r="B45" s="14" t="n">
        <f aca="false">SUMIF($E$7:$E$32,A45&amp;" ·*",$C$7:$C$32)</f>
        <v>16</v>
      </c>
    </row>
    <row r="46" customFormat="false" ht="14.25" hidden="false" customHeight="true" outlineLevel="0" collapsed="false">
      <c r="A46" s="14" t="s">
        <v>167</v>
      </c>
      <c r="B46" s="14" t="n">
        <f aca="false">SUMIF($E$7:$E$32,A46&amp;" ·*",$C$7:$C$32)</f>
        <v>14</v>
      </c>
    </row>
    <row r="47" customFormat="false" ht="14.25" hidden="false" customHeight="true" outlineLevel="0" collapsed="false">
      <c r="A47" s="14" t="s">
        <v>168</v>
      </c>
      <c r="B47" s="14" t="n">
        <f aca="false">SUMIF($E$7:$E$32,A47&amp;" ·*",$C$7:$C$32)</f>
        <v>18</v>
      </c>
    </row>
    <row r="48" customFormat="false" ht="14.25" hidden="false" customHeight="true" outlineLevel="0" collapsed="false">
      <c r="A48" s="14" t="s">
        <v>169</v>
      </c>
      <c r="B48" s="14" t="n">
        <f aca="false">SUMIF($E$7:$E$32,A48&amp;" ·*",$C$7:$C$32)</f>
        <v>18</v>
      </c>
    </row>
    <row r="49" customFormat="false" ht="14.25" hidden="false" customHeight="true" outlineLevel="0" collapsed="false">
      <c r="A49" s="14" t="s">
        <v>170</v>
      </c>
      <c r="B49" s="14" t="n">
        <f aca="false">SUMIF($E$7:$E$32,A49&amp;" ·*",$C$7:$C$32)</f>
        <v>16</v>
      </c>
    </row>
    <row r="50" customFormat="false" ht="14.25" hidden="false" customHeight="true" outlineLevel="0" collapsed="false">
      <c r="A50" s="14" t="s">
        <v>171</v>
      </c>
      <c r="B50" s="14" t="n">
        <f aca="false">SUMIF($E$7:$E$32,A50&amp;" ·*",$C$7:$C$32)</f>
        <v>16</v>
      </c>
    </row>
    <row r="51" customFormat="false" ht="14.25" hidden="false" customHeight="true" outlineLevel="0" collapsed="false">
      <c r="A51" s="14" t="s">
        <v>172</v>
      </c>
      <c r="B51" s="14" t="n">
        <f aca="false">SUMIF($E$7:$E$32,A51&amp;" ·*",$C$7:$C$32)</f>
        <v>18</v>
      </c>
    </row>
    <row r="52" customFormat="false" ht="14.25" hidden="false" customHeight="true" outlineLevel="0" collapsed="false">
      <c r="A52" s="14" t="s">
        <v>173</v>
      </c>
      <c r="B52" s="14" t="n">
        <f aca="false">SUMIF($E$7:$E$32,A52&amp;" ·*",$C$7:$C$32)</f>
        <v>13</v>
      </c>
    </row>
    <row r="53" customFormat="false" ht="14.25" hidden="false" customHeight="true" outlineLevel="0" collapsed="false">
      <c r="A53" s="15" t="s">
        <v>174</v>
      </c>
      <c r="B53" s="15" t="n">
        <f aca="false">SUM(B43:B52)</f>
        <v>161</v>
      </c>
    </row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8">
    <mergeCell ref="A2:H2"/>
    <mergeCell ref="D4:H4"/>
    <mergeCell ref="A35:H35"/>
    <mergeCell ref="A36:H36"/>
    <mergeCell ref="A37:H37"/>
    <mergeCell ref="A38:H38"/>
    <mergeCell ref="A39:H39"/>
    <mergeCell ref="A40:H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2026-10-09T23:24:58Z</dcterms:created>
  <dc:creator>openpyxl</dc:creator>
  <dc:description/>
  <dc:language>en-US</dc:language>
  <cp:lastModifiedBy/>
  <dcterms:modified xsi:type="dcterms:W3CDTF">2026-10-09T23:24:58Z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